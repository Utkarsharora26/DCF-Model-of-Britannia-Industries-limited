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hidePivotFieldList="1" defaultThemeVersion="166925"/>
  <mc:AlternateContent xmlns:mc="http://schemas.openxmlformats.org/markup-compatibility/2006">
    <mc:Choice Requires="x15">
      <x15ac:absPath xmlns:x15ac="http://schemas.microsoft.com/office/spreadsheetml/2010/11/ac" url="https://d.docs.live.net/a2983f68eb5c7b1e/Desktop/DCF projects/"/>
    </mc:Choice>
  </mc:AlternateContent>
  <xr:revisionPtr revIDLastSave="58" documentId="13_ncr:1_{4483C940-8A47-47D0-9127-429C8678B9A3}" xr6:coauthVersionLast="47" xr6:coauthVersionMax="47" xr10:uidLastSave="{105D737D-884B-4ADC-8517-576FC6480418}"/>
  <bookViews>
    <workbookView xWindow="-108" yWindow="-108" windowWidth="23256" windowHeight="12456" firstSheet="16" activeTab="22" xr2:uid="{83DC312C-35BA-47E9-A566-DF9D0916A993}"/>
  </bookViews>
  <sheets>
    <sheet name="Index" sheetId="16" r:id="rId1"/>
    <sheet name="Company Summary" sheetId="4" r:id="rId2"/>
    <sheet name="Peer Comparison " sheetId="29" r:id="rId3"/>
    <sheet name="Peer comparison FMCG" sheetId="24" r:id="rId4"/>
    <sheet name="Peer Comparison Categories" sheetId="30" r:id="rId5"/>
    <sheet name="Peer Comparison Charts" sheetId="28" r:id="rId6"/>
    <sheet name="FORECASTS " sheetId="9" r:id="rId7"/>
    <sheet name="P&amp;L Forecast" sheetId="6" r:id="rId8"/>
    <sheet name="BS Forecast" sheetId="7" r:id="rId9"/>
    <sheet name="Cash Flow Forecast" sheetId="8" r:id="rId10"/>
    <sheet name="WACC" sheetId="32" r:id="rId11"/>
    <sheet name="DCF " sheetId="31" r:id="rId12"/>
    <sheet name="Equity Schedule" sheetId="14" r:id="rId13"/>
    <sheet name="financial liabilites" sheetId="12" r:id="rId14"/>
    <sheet name="PP&amp;E schedule" sheetId="11" r:id="rId15"/>
    <sheet name="Charts " sheetId="18" r:id="rId16"/>
    <sheet name="Revenues&amp;EBITDA" sheetId="23" r:id="rId17"/>
    <sheet name="Working Capital" sheetId="21" r:id="rId18"/>
    <sheet name="historical data " sheetId="5" r:id="rId19"/>
    <sheet name="P&amp;L" sheetId="2" r:id="rId20"/>
    <sheet name="BS" sheetId="1" r:id="rId21"/>
    <sheet name="Cash Flow" sheetId="33" r:id="rId22"/>
    <sheet name="Britannia Stock Data" sheetId="35" r:id="rId23"/>
  </sheets>
  <definedNames>
    <definedName name="_xlchart.v5.0" hidden="1">'Peer Comparison Categories'!$B$4:$B$7</definedName>
    <definedName name="_xlchart.v5.1" hidden="1">'Peer Comparison Categories'!$C$3</definedName>
    <definedName name="_xlchart.v5.2" hidden="1">'Peer Comparison Categories'!$C$4:$C$7</definedName>
    <definedName name="_xlchart.v5.3" hidden="1">'Peer Comparison Categories'!$D$3</definedName>
    <definedName name="_xlchart.v5.4" hidden="1">'Peer Comparison Categories'!$D$4:$D$7</definedName>
    <definedName name="ExternalData_1" localSheetId="22" hidden="1">'Britannia Stock Data'!$A$1:$B$26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31" l="1"/>
  <c r="C16" i="31"/>
  <c r="C15" i="31"/>
  <c r="C14" i="31"/>
  <c r="D10" i="31"/>
  <c r="D9" i="31"/>
  <c r="H8" i="31"/>
  <c r="C21" i="32"/>
  <c r="H27" i="6"/>
  <c r="G8" i="6"/>
  <c r="E8" i="6"/>
  <c r="D7" i="30" s="1"/>
  <c r="D15" i="30"/>
  <c r="D14" i="30"/>
  <c r="I5" i="24"/>
  <c r="C21" i="31"/>
  <c r="C19" i="31"/>
  <c r="C17" i="31"/>
  <c r="D16" i="7"/>
  <c r="E16" i="7"/>
  <c r="C16" i="7"/>
  <c r="D7" i="33"/>
  <c r="E7" i="33"/>
  <c r="C7" i="33"/>
  <c r="D21" i="32"/>
  <c r="E21" i="32"/>
  <c r="K19" i="32"/>
  <c r="J19" i="32"/>
  <c r="I19" i="32"/>
  <c r="H19" i="32"/>
  <c r="G19" i="32"/>
  <c r="D19" i="32"/>
  <c r="E19" i="32"/>
  <c r="C19" i="32"/>
  <c r="K18" i="32"/>
  <c r="J18" i="32"/>
  <c r="I18" i="32"/>
  <c r="H18" i="32"/>
  <c r="G18" i="32"/>
  <c r="D18" i="32"/>
  <c r="E18" i="32"/>
  <c r="C18" i="32"/>
  <c r="G7" i="12"/>
  <c r="H7" i="12"/>
  <c r="I7" i="12"/>
  <c r="J7" i="12"/>
  <c r="F7" i="12"/>
  <c r="D13" i="32"/>
  <c r="D16" i="32" s="1"/>
  <c r="E13" i="32"/>
  <c r="E16" i="32" s="1"/>
  <c r="C13" i="32"/>
  <c r="D12" i="32"/>
  <c r="D15" i="32" s="1"/>
  <c r="E12" i="32"/>
  <c r="E15" i="32" s="1"/>
  <c r="C12" i="32"/>
  <c r="C8" i="32"/>
  <c r="H14" i="30"/>
  <c r="H15" i="30"/>
  <c r="H16" i="30"/>
  <c r="H17" i="30"/>
  <c r="H18" i="30"/>
  <c r="H13" i="30"/>
  <c r="H7" i="30"/>
  <c r="H8" i="30"/>
  <c r="H9" i="30"/>
  <c r="H10" i="30"/>
  <c r="H6" i="30"/>
  <c r="H5" i="30"/>
  <c r="D16" i="30"/>
  <c r="D17" i="30"/>
  <c r="D18" i="30"/>
  <c r="D13" i="30"/>
  <c r="E46" i="4"/>
  <c r="D46" i="4"/>
  <c r="C46" i="4"/>
  <c r="C35" i="2"/>
  <c r="D45" i="4"/>
  <c r="E45" i="4"/>
  <c r="C45" i="4"/>
  <c r="D42" i="4"/>
  <c r="E42" i="4"/>
  <c r="G42" i="4"/>
  <c r="H42" i="4"/>
  <c r="I42" i="4"/>
  <c r="J42" i="4"/>
  <c r="K42" i="4"/>
  <c r="C42" i="4"/>
  <c r="D41" i="4"/>
  <c r="C41" i="4"/>
  <c r="D40" i="4"/>
  <c r="E40" i="4"/>
  <c r="G40" i="4"/>
  <c r="H40" i="4"/>
  <c r="I40" i="4"/>
  <c r="J40" i="4"/>
  <c r="K40" i="4"/>
  <c r="C40" i="4"/>
  <c r="D38" i="4"/>
  <c r="C38" i="4"/>
  <c r="D35" i="4"/>
  <c r="D36" i="4"/>
  <c r="C36" i="4"/>
  <c r="C35" i="4"/>
  <c r="D34" i="4"/>
  <c r="F34" i="4"/>
  <c r="C34" i="4"/>
  <c r="D33" i="4"/>
  <c r="F33" i="4"/>
  <c r="C33" i="4"/>
  <c r="D31" i="4"/>
  <c r="C31" i="4"/>
  <c r="D28" i="4"/>
  <c r="E28" i="4"/>
  <c r="C28" i="4"/>
  <c r="C27" i="4"/>
  <c r="D27" i="4"/>
  <c r="E27" i="4"/>
  <c r="D22" i="8"/>
  <c r="C22" i="8"/>
  <c r="C16" i="8"/>
  <c r="I19" i="7"/>
  <c r="J19" i="7" s="1"/>
  <c r="K19" i="7" s="1"/>
  <c r="H19" i="7"/>
  <c r="G19" i="7"/>
  <c r="E33" i="7"/>
  <c r="D33" i="7"/>
  <c r="D9" i="12"/>
  <c r="E9" i="12"/>
  <c r="C9" i="12"/>
  <c r="C34" i="7"/>
  <c r="E19" i="7"/>
  <c r="D19" i="7"/>
  <c r="C19" i="7"/>
  <c r="D20" i="7"/>
  <c r="E20" i="7"/>
  <c r="C20" i="7"/>
  <c r="E12" i="7"/>
  <c r="D12" i="7"/>
  <c r="C12" i="7"/>
  <c r="C31" i="7" s="1"/>
  <c r="D11" i="7"/>
  <c r="D32" i="7" s="1"/>
  <c r="E11" i="7"/>
  <c r="C11" i="7"/>
  <c r="C32" i="7" s="1"/>
  <c r="E9" i="7"/>
  <c r="D9" i="7"/>
  <c r="C9" i="7"/>
  <c r="D10" i="7"/>
  <c r="E10" i="7"/>
  <c r="H10" i="7" s="1"/>
  <c r="C10" i="7"/>
  <c r="C11" i="24"/>
  <c r="F25" i="24"/>
  <c r="E23" i="24"/>
  <c r="D23" i="24"/>
  <c r="E21" i="24"/>
  <c r="D21" i="24"/>
  <c r="G27" i="24"/>
  <c r="F27" i="24"/>
  <c r="E27" i="24"/>
  <c r="D27" i="24"/>
  <c r="G25" i="24"/>
  <c r="E25" i="24"/>
  <c r="D25" i="24"/>
  <c r="G23" i="24"/>
  <c r="F23" i="24"/>
  <c r="G21" i="24"/>
  <c r="F21" i="24"/>
  <c r="E19" i="24"/>
  <c r="F19" i="24"/>
  <c r="G19" i="24"/>
  <c r="D19" i="24"/>
  <c r="H26" i="24"/>
  <c r="H27" i="24" s="1"/>
  <c r="H25" i="24"/>
  <c r="H22" i="24"/>
  <c r="H23" i="24" s="1"/>
  <c r="H20" i="24"/>
  <c r="H21" i="24" s="1"/>
  <c r="G8" i="24"/>
  <c r="I8" i="24" s="1"/>
  <c r="C11" i="6"/>
  <c r="D4" i="30" l="1"/>
  <c r="D5" i="30"/>
  <c r="C16" i="32"/>
  <c r="C15" i="32"/>
  <c r="E7" i="12"/>
  <c r="C19" i="12"/>
  <c r="D6" i="30"/>
  <c r="G10" i="7"/>
  <c r="K10" i="7"/>
  <c r="J10" i="7"/>
  <c r="I10" i="7"/>
  <c r="I7" i="24"/>
  <c r="E4" i="24"/>
  <c r="H18" i="24" s="1"/>
  <c r="H19" i="24" s="1"/>
  <c r="I6" i="24"/>
  <c r="E8" i="12" l="1"/>
  <c r="C13" i="12"/>
  <c r="C18" i="12" s="1"/>
  <c r="C20" i="12" s="1"/>
  <c r="F8" i="12" l="1"/>
  <c r="C21" i="12"/>
  <c r="F9" i="12" s="1"/>
  <c r="G20" i="7" s="1"/>
  <c r="D23" i="7"/>
  <c r="E23" i="7"/>
  <c r="C23" i="7"/>
  <c r="E22" i="7"/>
  <c r="D22" i="7"/>
  <c r="C22" i="7"/>
  <c r="E42" i="1"/>
  <c r="D42" i="1"/>
  <c r="C42" i="1"/>
  <c r="D35" i="1"/>
  <c r="E35" i="1"/>
  <c r="C35" i="1"/>
  <c r="E28" i="2"/>
  <c r="D28" i="2"/>
  <c r="C28" i="2"/>
  <c r="G12" i="32" l="1"/>
  <c r="F22" i="8"/>
  <c r="C5" i="7"/>
  <c r="E54" i="1"/>
  <c r="E26" i="7"/>
  <c r="E29" i="1"/>
  <c r="E20" i="1"/>
  <c r="E10" i="1"/>
  <c r="E17" i="1" s="1"/>
  <c r="C26" i="7"/>
  <c r="D26" i="7"/>
  <c r="D10" i="1"/>
  <c r="D17" i="1" s="1"/>
  <c r="C10" i="1"/>
  <c r="C17" i="1" s="1"/>
  <c r="C25" i="2"/>
  <c r="C12" i="2"/>
  <c r="C6" i="2"/>
  <c r="C8" i="2" s="1"/>
  <c r="C8" i="6"/>
  <c r="D16" i="8" l="1"/>
  <c r="D23" i="8"/>
  <c r="E55" i="1"/>
  <c r="E56" i="1" s="1"/>
  <c r="E30" i="1"/>
  <c r="C13" i="2"/>
  <c r="C16" i="2" s="1"/>
  <c r="C19" i="2" s="1"/>
  <c r="C21" i="2" s="1"/>
  <c r="C26" i="2" s="1"/>
  <c r="H15" i="7" l="1"/>
  <c r="I15" i="7"/>
  <c r="J15" i="7"/>
  <c r="K15" i="7"/>
  <c r="G15" i="7"/>
  <c r="C27" i="8"/>
  <c r="C20" i="6" l="1"/>
  <c r="D29" i="1" l="1"/>
  <c r="D30" i="1" s="1"/>
  <c r="C29" i="1"/>
  <c r="C30" i="1" s="1"/>
  <c r="D20" i="1"/>
  <c r="C20" i="1"/>
  <c r="D25" i="2"/>
  <c r="D20" i="6" s="1"/>
  <c r="D17" i="6"/>
  <c r="E17" i="6"/>
  <c r="C21" i="7"/>
  <c r="C17" i="6"/>
  <c r="C15" i="6"/>
  <c r="C13" i="6"/>
  <c r="C6" i="21" l="1"/>
  <c r="C24" i="7"/>
  <c r="D20" i="8"/>
  <c r="F27" i="8"/>
  <c r="D30" i="8"/>
  <c r="C20" i="8"/>
  <c r="C9" i="6" l="1"/>
  <c r="D9" i="6"/>
  <c r="E9" i="6"/>
  <c r="D13" i="6"/>
  <c r="E13" i="6"/>
  <c r="D15" i="6"/>
  <c r="E15" i="6"/>
  <c r="C18" i="6"/>
  <c r="D18" i="6"/>
  <c r="E18" i="6"/>
  <c r="D8" i="8" l="1"/>
  <c r="C8" i="8"/>
  <c r="D18" i="8"/>
  <c r="C18" i="8"/>
  <c r="D27" i="6"/>
  <c r="C10" i="21"/>
  <c r="E6" i="11"/>
  <c r="C10" i="6"/>
  <c r="G23" i="6"/>
  <c r="C5" i="23" l="1"/>
  <c r="C12" i="6"/>
  <c r="C14" i="6" s="1"/>
  <c r="C16" i="6" l="1"/>
  <c r="C19" i="6" s="1"/>
  <c r="C6" i="23"/>
  <c r="C7" i="23" s="1"/>
  <c r="G9" i="7" l="1"/>
  <c r="H9" i="7"/>
  <c r="I9" i="7"/>
  <c r="J9" i="7"/>
  <c r="K9" i="7"/>
  <c r="C21" i="6"/>
  <c r="C43" i="6"/>
  <c r="D21" i="7"/>
  <c r="D24" i="7" s="1"/>
  <c r="E21" i="7"/>
  <c r="C30" i="8"/>
  <c r="D15" i="7"/>
  <c r="E15" i="7"/>
  <c r="C15" i="7"/>
  <c r="D6" i="7"/>
  <c r="E6" i="7"/>
  <c r="C6" i="7"/>
  <c r="D8" i="7"/>
  <c r="E8" i="7"/>
  <c r="C8" i="7"/>
  <c r="D14" i="7"/>
  <c r="D5" i="21" s="1"/>
  <c r="E14" i="7"/>
  <c r="C14" i="7"/>
  <c r="D13" i="7"/>
  <c r="E13" i="7"/>
  <c r="D10" i="8" s="1"/>
  <c r="C13" i="7"/>
  <c r="C4" i="21" s="1"/>
  <c r="D7" i="7"/>
  <c r="E5" i="11" s="1"/>
  <c r="E10" i="11" s="1"/>
  <c r="E7" i="7"/>
  <c r="E8" i="11" s="1"/>
  <c r="C7" i="7"/>
  <c r="C8" i="11" s="1"/>
  <c r="D5" i="11" s="1"/>
  <c r="D5" i="7"/>
  <c r="C15" i="8" s="1"/>
  <c r="E5" i="7"/>
  <c r="K43" i="6"/>
  <c r="J43" i="6"/>
  <c r="I43" i="6"/>
  <c r="H43" i="6"/>
  <c r="G43" i="6"/>
  <c r="K39" i="6"/>
  <c r="J39" i="6"/>
  <c r="I39" i="6"/>
  <c r="H39" i="6"/>
  <c r="G39" i="6"/>
  <c r="K35" i="6"/>
  <c r="J35" i="6"/>
  <c r="I35" i="6"/>
  <c r="H35" i="6"/>
  <c r="G35" i="6"/>
  <c r="K31" i="6"/>
  <c r="J31" i="6"/>
  <c r="I31" i="6"/>
  <c r="H31" i="6"/>
  <c r="G31" i="6"/>
  <c r="D15" i="8" l="1"/>
  <c r="D11" i="8"/>
  <c r="D12" i="8"/>
  <c r="E24" i="7"/>
  <c r="C5" i="21"/>
  <c r="C9" i="21" s="1"/>
  <c r="C37" i="7"/>
  <c r="C23" i="8"/>
  <c r="C12" i="8"/>
  <c r="D6" i="21"/>
  <c r="D4" i="21"/>
  <c r="C10" i="8"/>
  <c r="H8" i="7"/>
  <c r="I8" i="7"/>
  <c r="K8" i="7"/>
  <c r="G8" i="7"/>
  <c r="J8" i="7"/>
  <c r="E5" i="21"/>
  <c r="D27" i="8"/>
  <c r="H6" i="7"/>
  <c r="I6" i="7"/>
  <c r="K6" i="7"/>
  <c r="G6" i="7"/>
  <c r="J6" i="7"/>
  <c r="C7" i="21"/>
  <c r="C11" i="21"/>
  <c r="J5" i="7"/>
  <c r="K5" i="7"/>
  <c r="G5" i="7"/>
  <c r="H5" i="7"/>
  <c r="I5" i="7"/>
  <c r="F5" i="11"/>
  <c r="E7" i="11"/>
  <c r="D17" i="8" s="1"/>
  <c r="E4" i="21"/>
  <c r="E6" i="21"/>
  <c r="D35" i="7"/>
  <c r="E35" i="7"/>
  <c r="C11" i="8"/>
  <c r="E17" i="7"/>
  <c r="D8" i="11"/>
  <c r="C17" i="7"/>
  <c r="D17" i="7"/>
  <c r="I27" i="6"/>
  <c r="J27" i="6"/>
  <c r="K27" i="6"/>
  <c r="G27" i="6"/>
  <c r="G9" i="6" s="1"/>
  <c r="H23" i="6"/>
  <c r="I23" i="6"/>
  <c r="J23" i="6"/>
  <c r="K23" i="6"/>
  <c r="D6" i="11"/>
  <c r="D10" i="11" s="1"/>
  <c r="D6" i="2"/>
  <c r="D8" i="6" s="1"/>
  <c r="D10" i="6" s="1"/>
  <c r="D23" i="6" s="1"/>
  <c r="E6" i="2"/>
  <c r="D43" i="4" l="1"/>
  <c r="D30" i="4"/>
  <c r="E30" i="4"/>
  <c r="C49" i="6"/>
  <c r="C37" i="4" s="1"/>
  <c r="C43" i="4"/>
  <c r="C30" i="4"/>
  <c r="D14" i="8"/>
  <c r="E10" i="6"/>
  <c r="E32" i="7" s="1"/>
  <c r="H8" i="6"/>
  <c r="I8" i="6" s="1"/>
  <c r="E8" i="2"/>
  <c r="E9" i="21"/>
  <c r="D8" i="2"/>
  <c r="D5" i="23"/>
  <c r="D9" i="21"/>
  <c r="C14" i="8"/>
  <c r="E7" i="21"/>
  <c r="D7" i="21"/>
  <c r="F10" i="11"/>
  <c r="D7" i="11"/>
  <c r="G35" i="7"/>
  <c r="G23" i="7" s="1"/>
  <c r="F23" i="8" s="1"/>
  <c r="H35" i="7"/>
  <c r="I35" i="7"/>
  <c r="J35" i="7"/>
  <c r="K35" i="7"/>
  <c r="H9" i="6"/>
  <c r="I9" i="6" s="1"/>
  <c r="J9" i="6" s="1"/>
  <c r="K9" i="6" s="1"/>
  <c r="E27" i="6"/>
  <c r="G32" i="7" l="1"/>
  <c r="J32" i="7" s="1"/>
  <c r="H32" i="7"/>
  <c r="I32" i="7"/>
  <c r="E43" i="4"/>
  <c r="C17" i="8"/>
  <c r="D11" i="11"/>
  <c r="G10" i="6"/>
  <c r="E5" i="23"/>
  <c r="H23" i="7"/>
  <c r="G23" i="8" s="1"/>
  <c r="E11" i="11"/>
  <c r="J8" i="6"/>
  <c r="I10" i="6"/>
  <c r="H10" i="6"/>
  <c r="E34" i="7"/>
  <c r="E31" i="7"/>
  <c r="D34" i="7"/>
  <c r="D31" i="7"/>
  <c r="H10" i="11"/>
  <c r="F6" i="11"/>
  <c r="I10" i="11"/>
  <c r="G10" i="11"/>
  <c r="J10" i="11"/>
  <c r="E37" i="7"/>
  <c r="E41" i="4" s="1"/>
  <c r="D35" i="6"/>
  <c r="D37" i="7"/>
  <c r="D39" i="6"/>
  <c r="E39" i="6"/>
  <c r="C39" i="6"/>
  <c r="E23" i="6"/>
  <c r="E35" i="6"/>
  <c r="C35" i="6"/>
  <c r="K32" i="7" l="1"/>
  <c r="H11" i="7"/>
  <c r="I11" i="7"/>
  <c r="G5" i="23"/>
  <c r="G22" i="7"/>
  <c r="G11" i="7"/>
  <c r="G13" i="6"/>
  <c r="G18" i="6"/>
  <c r="F18" i="8" s="1"/>
  <c r="G11" i="6"/>
  <c r="G12" i="6" s="1"/>
  <c r="G34" i="4" s="1"/>
  <c r="I5" i="23"/>
  <c r="H5" i="23"/>
  <c r="I23" i="7"/>
  <c r="H23" i="8" s="1"/>
  <c r="I11" i="11"/>
  <c r="J11" i="11"/>
  <c r="G11" i="11"/>
  <c r="H11" i="11"/>
  <c r="F11" i="11"/>
  <c r="F7" i="11" s="1"/>
  <c r="F17" i="8" s="1"/>
  <c r="H13" i="6"/>
  <c r="H11" i="6"/>
  <c r="H18" i="6"/>
  <c r="G18" i="8" s="1"/>
  <c r="I18" i="6"/>
  <c r="H18" i="8" s="1"/>
  <c r="I13" i="6"/>
  <c r="I11" i="6"/>
  <c r="J10" i="6"/>
  <c r="K8" i="6"/>
  <c r="K10" i="6" s="1"/>
  <c r="G31" i="7"/>
  <c r="G12" i="7" s="1"/>
  <c r="F15" i="8" s="1"/>
  <c r="J31" i="7"/>
  <c r="H31" i="7"/>
  <c r="H12" i="7" s="1"/>
  <c r="I31" i="7"/>
  <c r="I12" i="7" s="1"/>
  <c r="K31" i="7"/>
  <c r="H34" i="7"/>
  <c r="H22" i="7" s="1"/>
  <c r="K34" i="7"/>
  <c r="G34" i="7"/>
  <c r="I34" i="7"/>
  <c r="I22" i="7" s="1"/>
  <c r="J34" i="7"/>
  <c r="G37" i="7"/>
  <c r="G41" i="4" s="1"/>
  <c r="H37" i="7"/>
  <c r="H41" i="4" s="1"/>
  <c r="I37" i="7"/>
  <c r="I41" i="4" s="1"/>
  <c r="J37" i="7"/>
  <c r="J41" i="4" s="1"/>
  <c r="K37" i="7"/>
  <c r="K41" i="4" s="1"/>
  <c r="G15" i="8" l="1"/>
  <c r="J11" i="7"/>
  <c r="K11" i="7"/>
  <c r="K22" i="7"/>
  <c r="J22" i="7"/>
  <c r="I16" i="8" s="1"/>
  <c r="H15" i="8"/>
  <c r="G14" i="6"/>
  <c r="G6" i="23" s="1"/>
  <c r="G7" i="23" s="1"/>
  <c r="F16" i="8"/>
  <c r="H16" i="8"/>
  <c r="G16" i="8"/>
  <c r="K5" i="23"/>
  <c r="J5" i="23"/>
  <c r="G14" i="7"/>
  <c r="F11" i="8" s="1"/>
  <c r="H14" i="7"/>
  <c r="I14" i="7"/>
  <c r="J23" i="7"/>
  <c r="I23" i="8" s="1"/>
  <c r="F8" i="11"/>
  <c r="H12" i="6"/>
  <c r="K12" i="7"/>
  <c r="K14" i="7"/>
  <c r="J12" i="7"/>
  <c r="I15" i="8" s="1"/>
  <c r="J14" i="7"/>
  <c r="I12" i="6"/>
  <c r="K18" i="6"/>
  <c r="J18" i="8" s="1"/>
  <c r="K13" i="6"/>
  <c r="K11" i="6"/>
  <c r="J11" i="6"/>
  <c r="J18" i="6"/>
  <c r="I18" i="8" s="1"/>
  <c r="J13" i="6"/>
  <c r="G51" i="6"/>
  <c r="J15" i="8" l="1"/>
  <c r="I14" i="6"/>
  <c r="I6" i="23" s="1"/>
  <c r="I7" i="23" s="1"/>
  <c r="I34" i="4"/>
  <c r="H14" i="6"/>
  <c r="H6" i="23" s="1"/>
  <c r="H7" i="23" s="1"/>
  <c r="H34" i="4"/>
  <c r="G11" i="8"/>
  <c r="H5" i="21"/>
  <c r="H9" i="21" s="1"/>
  <c r="J16" i="8"/>
  <c r="H11" i="8"/>
  <c r="I11" i="8"/>
  <c r="K5" i="21"/>
  <c r="K9" i="21" s="1"/>
  <c r="J11" i="8"/>
  <c r="G5" i="21"/>
  <c r="G9" i="21" s="1"/>
  <c r="I5" i="21"/>
  <c r="I9" i="21" s="1"/>
  <c r="K23" i="7"/>
  <c r="J23" i="8" s="1"/>
  <c r="J5" i="21"/>
  <c r="J9" i="21" s="1"/>
  <c r="G5" i="11"/>
  <c r="G6" i="11" s="1"/>
  <c r="G7" i="7"/>
  <c r="K12" i="6"/>
  <c r="J12" i="6"/>
  <c r="H51" i="6"/>
  <c r="I52" i="6"/>
  <c r="I51" i="6"/>
  <c r="G52" i="6"/>
  <c r="C54" i="1"/>
  <c r="C55" i="1" s="1"/>
  <c r="C56" i="1" s="1"/>
  <c r="E25" i="2"/>
  <c r="E20" i="6" s="1"/>
  <c r="D12" i="2"/>
  <c r="D11" i="6" s="1"/>
  <c r="E12" i="2"/>
  <c r="E11" i="6" s="1"/>
  <c r="D54" i="1"/>
  <c r="D55" i="1" s="1"/>
  <c r="H52" i="6" l="1"/>
  <c r="J51" i="6"/>
  <c r="J34" i="4"/>
  <c r="K14" i="6"/>
  <c r="K34" i="4"/>
  <c r="D56" i="1"/>
  <c r="E10" i="21"/>
  <c r="E11" i="21"/>
  <c r="E12" i="6"/>
  <c r="D10" i="21"/>
  <c r="D11" i="21"/>
  <c r="D12" i="6"/>
  <c r="D14" i="6" s="1"/>
  <c r="C50" i="6"/>
  <c r="K52" i="6"/>
  <c r="K6" i="23"/>
  <c r="K7" i="23" s="1"/>
  <c r="G7" i="11"/>
  <c r="G17" i="8" s="1"/>
  <c r="K51" i="6"/>
  <c r="J14" i="6"/>
  <c r="D6" i="12"/>
  <c r="C27" i="7"/>
  <c r="C29" i="7" s="1"/>
  <c r="E38" i="7"/>
  <c r="E39" i="7"/>
  <c r="E31" i="6"/>
  <c r="C38" i="7"/>
  <c r="C39" i="7"/>
  <c r="C31" i="6"/>
  <c r="D38" i="7"/>
  <c r="D39" i="7"/>
  <c r="D31" i="6"/>
  <c r="E13" i="2"/>
  <c r="E16" i="2" s="1"/>
  <c r="D13" i="2"/>
  <c r="E14" i="6" l="1"/>
  <c r="E34" i="4"/>
  <c r="G4" i="24"/>
  <c r="I4" i="24" s="1"/>
  <c r="J38" i="7"/>
  <c r="J21" i="7" s="1"/>
  <c r="K38" i="7"/>
  <c r="K21" i="7" s="1"/>
  <c r="G38" i="7"/>
  <c r="G21" i="7" s="1"/>
  <c r="I38" i="7"/>
  <c r="I21" i="7" s="1"/>
  <c r="H38" i="7"/>
  <c r="H21" i="7" s="1"/>
  <c r="E6" i="23"/>
  <c r="E7" i="23" s="1"/>
  <c r="E16" i="6"/>
  <c r="D16" i="6"/>
  <c r="D6" i="23"/>
  <c r="D7" i="23" s="1"/>
  <c r="E40" i="7"/>
  <c r="F11" i="24" s="1"/>
  <c r="D40" i="7"/>
  <c r="C40" i="7"/>
  <c r="J52" i="6"/>
  <c r="J6" i="23"/>
  <c r="J7" i="23" s="1"/>
  <c r="G8" i="11"/>
  <c r="F6" i="12"/>
  <c r="G17" i="6"/>
  <c r="F20" i="8" s="1"/>
  <c r="D7" i="12"/>
  <c r="E6" i="12"/>
  <c r="D8" i="12"/>
  <c r="E51" i="6"/>
  <c r="D51" i="6"/>
  <c r="C51" i="6"/>
  <c r="G39" i="7"/>
  <c r="I39" i="7"/>
  <c r="H39" i="7"/>
  <c r="K39" i="7"/>
  <c r="J39" i="7"/>
  <c r="C36" i="2"/>
  <c r="D16" i="2"/>
  <c r="E19" i="2"/>
  <c r="E21" i="2" s="1"/>
  <c r="E26" i="2" s="1"/>
  <c r="D5" i="8" l="1"/>
  <c r="E31" i="4"/>
  <c r="E35" i="4"/>
  <c r="I12" i="8"/>
  <c r="J12" i="8"/>
  <c r="H12" i="8"/>
  <c r="G12" i="8"/>
  <c r="F12" i="8"/>
  <c r="E19" i="6"/>
  <c r="D19" i="6"/>
  <c r="D21" i="6" s="1"/>
  <c r="D49" i="6" s="1"/>
  <c r="D37" i="4" s="1"/>
  <c r="C5" i="8"/>
  <c r="J13" i="7"/>
  <c r="J40" i="7"/>
  <c r="K13" i="7"/>
  <c r="K40" i="7"/>
  <c r="H13" i="7"/>
  <c r="H40" i="7"/>
  <c r="I13" i="7"/>
  <c r="I40" i="7"/>
  <c r="G13" i="7"/>
  <c r="G40" i="7"/>
  <c r="D27" i="7"/>
  <c r="D29" i="7" s="1"/>
  <c r="E10" i="14"/>
  <c r="F6" i="14" s="1"/>
  <c r="H6" i="21"/>
  <c r="H10" i="21" s="1"/>
  <c r="K6" i="21"/>
  <c r="K10" i="21" s="1"/>
  <c r="I6" i="21"/>
  <c r="I10" i="21" s="1"/>
  <c r="G6" i="21"/>
  <c r="G10" i="21" s="1"/>
  <c r="J6" i="21"/>
  <c r="J10" i="21" s="1"/>
  <c r="H5" i="11"/>
  <c r="H7" i="7"/>
  <c r="E27" i="7"/>
  <c r="E29" i="7" s="1"/>
  <c r="I18" i="12"/>
  <c r="J18" i="12"/>
  <c r="K18" i="12"/>
  <c r="L18" i="12"/>
  <c r="D18" i="12"/>
  <c r="E18" i="12"/>
  <c r="F18" i="12"/>
  <c r="G18" i="12"/>
  <c r="H18" i="12"/>
  <c r="D52" i="6"/>
  <c r="C52" i="6"/>
  <c r="E52" i="6"/>
  <c r="D19" i="2"/>
  <c r="D21" i="2" s="1"/>
  <c r="D26" i="2" s="1"/>
  <c r="E21" i="6" l="1"/>
  <c r="E33" i="4" s="1"/>
  <c r="E36" i="4"/>
  <c r="F10" i="8"/>
  <c r="E49" i="6"/>
  <c r="D24" i="8"/>
  <c r="I10" i="8"/>
  <c r="I14" i="8" s="1"/>
  <c r="H4" i="21"/>
  <c r="H7" i="21" s="1"/>
  <c r="G10" i="8"/>
  <c r="G14" i="8" s="1"/>
  <c r="J4" i="21"/>
  <c r="J7" i="21" s="1"/>
  <c r="F14" i="8"/>
  <c r="H10" i="8"/>
  <c r="H14" i="8" s="1"/>
  <c r="K4" i="21"/>
  <c r="K11" i="21" s="1"/>
  <c r="J10" i="8"/>
  <c r="J14" i="8" s="1"/>
  <c r="D50" i="6"/>
  <c r="E50" i="6"/>
  <c r="C24" i="8"/>
  <c r="I4" i="21"/>
  <c r="I11" i="21" s="1"/>
  <c r="G4" i="21"/>
  <c r="G11" i="21" s="1"/>
  <c r="H7" i="11"/>
  <c r="H17" i="8" s="1"/>
  <c r="H6" i="11"/>
  <c r="E36" i="2"/>
  <c r="E35" i="2"/>
  <c r="E11" i="24" l="1"/>
  <c r="E38" i="4"/>
  <c r="D11" i="24"/>
  <c r="E37" i="4"/>
  <c r="J11" i="21"/>
  <c r="H11" i="21"/>
  <c r="K7" i="21"/>
  <c r="I7" i="21"/>
  <c r="G7" i="21"/>
  <c r="H8" i="11"/>
  <c r="I5" i="11" s="1"/>
  <c r="D19" i="12"/>
  <c r="D36" i="2"/>
  <c r="D35" i="2"/>
  <c r="G24" i="7" l="1"/>
  <c r="I7" i="7"/>
  <c r="I7" i="11"/>
  <c r="I17" i="8" s="1"/>
  <c r="I6" i="11"/>
  <c r="D20" i="12"/>
  <c r="D21" i="12" s="1"/>
  <c r="G9" i="12" s="1"/>
  <c r="H17" i="6"/>
  <c r="G20" i="8" s="1"/>
  <c r="I8" i="11" l="1"/>
  <c r="J5" i="11" s="1"/>
  <c r="G8" i="12"/>
  <c r="H20" i="7" s="1"/>
  <c r="H12" i="32" l="1"/>
  <c r="G22" i="8"/>
  <c r="J7" i="7"/>
  <c r="J6" i="11"/>
  <c r="J7" i="11"/>
  <c r="J17" i="8" s="1"/>
  <c r="E19" i="12"/>
  <c r="H24" i="7" l="1"/>
  <c r="J8" i="11"/>
  <c r="K7" i="7" s="1"/>
  <c r="E20" i="12"/>
  <c r="E21" i="12" s="1"/>
  <c r="I17" i="6"/>
  <c r="H20" i="8" s="1"/>
  <c r="H8" i="12" l="1"/>
  <c r="H9" i="12"/>
  <c r="I20" i="7" s="1"/>
  <c r="I12" i="32" l="1"/>
  <c r="H22" i="8"/>
  <c r="F19" i="12"/>
  <c r="I24" i="7" l="1"/>
  <c r="F20" i="12"/>
  <c r="F21" i="12" s="1"/>
  <c r="J17" i="6"/>
  <c r="I20" i="8" s="1"/>
  <c r="I8" i="12" l="1"/>
  <c r="I9" i="12"/>
  <c r="J20" i="7" s="1"/>
  <c r="J12" i="32" l="1"/>
  <c r="I22" i="8"/>
  <c r="G19" i="12"/>
  <c r="J24" i="7" l="1"/>
  <c r="G20" i="12"/>
  <c r="G21" i="12" s="1"/>
  <c r="K17" i="6"/>
  <c r="J20" i="8" s="1"/>
  <c r="J8" i="12" l="1"/>
  <c r="J9" i="12"/>
  <c r="K20" i="7" s="1"/>
  <c r="K12" i="32" l="1"/>
  <c r="J22" i="8"/>
  <c r="H19" i="12"/>
  <c r="H20" i="12" s="1"/>
  <c r="H21" i="12" s="1"/>
  <c r="I19" i="12" l="1"/>
  <c r="I20" i="12" s="1"/>
  <c r="I21" i="12" s="1"/>
  <c r="K24" i="7"/>
  <c r="H6" i="12"/>
  <c r="I6" i="12" s="1"/>
  <c r="J6" i="12" s="1"/>
  <c r="J19" i="12" l="1"/>
  <c r="J20" i="12" s="1"/>
  <c r="E43" i="6"/>
  <c r="D6" i="8" s="1"/>
  <c r="J21" i="12" l="1"/>
  <c r="D21" i="8"/>
  <c r="D7" i="8"/>
  <c r="D9" i="8" s="1"/>
  <c r="D19" i="8" s="1"/>
  <c r="D53" i="6"/>
  <c r="D43" i="6"/>
  <c r="C6" i="8" s="1"/>
  <c r="C21" i="8" s="1"/>
  <c r="C53" i="6"/>
  <c r="K19" i="12" l="1"/>
  <c r="K20" i="12" s="1"/>
  <c r="K21" i="12" s="1"/>
  <c r="D25" i="8"/>
  <c r="D28" i="8" s="1"/>
  <c r="D31" i="8" s="1"/>
  <c r="C7" i="8"/>
  <c r="C9" i="8" s="1"/>
  <c r="E53" i="6"/>
  <c r="L19" i="12" l="1"/>
  <c r="L20" i="12" s="1"/>
  <c r="L21" i="12" s="1"/>
  <c r="C19" i="8"/>
  <c r="C25" i="8" l="1"/>
  <c r="C28" i="8" s="1"/>
  <c r="C31" i="8" s="1"/>
  <c r="K15" i="6"/>
  <c r="J8" i="8" s="1"/>
  <c r="J15" i="6"/>
  <c r="I8" i="8" s="1"/>
  <c r="I15" i="6"/>
  <c r="H8" i="8" s="1"/>
  <c r="H15" i="6"/>
  <c r="G8" i="8" s="1"/>
  <c r="G15" i="6"/>
  <c r="F8" i="8" s="1"/>
  <c r="G16" i="6" l="1"/>
  <c r="I16" i="6"/>
  <c r="K16" i="6"/>
  <c r="J16" i="6"/>
  <c r="H16" i="6"/>
  <c r="J5" i="8" l="1"/>
  <c r="K35" i="4"/>
  <c r="K31" i="4"/>
  <c r="H5" i="8"/>
  <c r="H6" i="8" s="1"/>
  <c r="I31" i="4"/>
  <c r="I35" i="4"/>
  <c r="G5" i="8"/>
  <c r="G6" i="8" s="1"/>
  <c r="G7" i="8" s="1"/>
  <c r="G9" i="8" s="1"/>
  <c r="H35" i="4"/>
  <c r="H31" i="4"/>
  <c r="I5" i="8"/>
  <c r="I6" i="8" s="1"/>
  <c r="I7" i="8" s="1"/>
  <c r="I9" i="8" s="1"/>
  <c r="I19" i="8" s="1"/>
  <c r="G7" i="31" s="1"/>
  <c r="J35" i="4"/>
  <c r="J31" i="4"/>
  <c r="F5" i="8"/>
  <c r="F6" i="8" s="1"/>
  <c r="G35" i="4"/>
  <c r="G31" i="4"/>
  <c r="I19" i="6"/>
  <c r="J6" i="8"/>
  <c r="J7" i="8" s="1"/>
  <c r="J9" i="8" s="1"/>
  <c r="J19" i="8" s="1"/>
  <c r="H7" i="31" s="1"/>
  <c r="G19" i="6"/>
  <c r="K19" i="6"/>
  <c r="J19" i="6"/>
  <c r="H19" i="6"/>
  <c r="H36" i="4" s="1"/>
  <c r="I20" i="6" l="1"/>
  <c r="I36" i="4"/>
  <c r="J20" i="6"/>
  <c r="J21" i="6" s="1"/>
  <c r="J33" i="4" s="1"/>
  <c r="J36" i="4"/>
  <c r="K20" i="6"/>
  <c r="K21" i="6" s="1"/>
  <c r="K33" i="4" s="1"/>
  <c r="K36" i="4"/>
  <c r="G20" i="6"/>
  <c r="G21" i="6" s="1"/>
  <c r="G36" i="4"/>
  <c r="F7" i="8"/>
  <c r="F9" i="8" s="1"/>
  <c r="F19" i="8" s="1"/>
  <c r="D7" i="31" s="1"/>
  <c r="I21" i="6"/>
  <c r="I33" i="4" s="1"/>
  <c r="G19" i="8"/>
  <c r="E7" i="31" s="1"/>
  <c r="H21" i="8"/>
  <c r="F21" i="8"/>
  <c r="H7" i="8"/>
  <c r="H9" i="8" s="1"/>
  <c r="H20" i="6"/>
  <c r="G21" i="8" s="1"/>
  <c r="J21" i="8" l="1"/>
  <c r="I21" i="8"/>
  <c r="G53" i="6"/>
  <c r="G33" i="4"/>
  <c r="I53" i="6"/>
  <c r="H8" i="14"/>
  <c r="H9" i="14" s="1"/>
  <c r="H19" i="8"/>
  <c r="F7" i="31" s="1"/>
  <c r="F8" i="14"/>
  <c r="F9" i="14" s="1"/>
  <c r="F10" i="14" s="1"/>
  <c r="G26" i="7" s="1"/>
  <c r="G13" i="32" s="1"/>
  <c r="I8" i="14"/>
  <c r="I9" i="14" s="1"/>
  <c r="J53" i="6"/>
  <c r="J8" i="14"/>
  <c r="J9" i="14" s="1"/>
  <c r="K53" i="6"/>
  <c r="H21" i="6"/>
  <c r="H33" i="4" s="1"/>
  <c r="G16" i="32" l="1"/>
  <c r="G15" i="32"/>
  <c r="G21" i="32" s="1"/>
  <c r="F24" i="8"/>
  <c r="F25" i="8" s="1"/>
  <c r="G16" i="7" s="1"/>
  <c r="G6" i="14"/>
  <c r="G50" i="6"/>
  <c r="G38" i="4" s="1"/>
  <c r="G8" i="14"/>
  <c r="G9" i="14" s="1"/>
  <c r="H53" i="6"/>
  <c r="G28" i="4" l="1"/>
  <c r="G27" i="4"/>
  <c r="G10" i="14"/>
  <c r="G27" i="7"/>
  <c r="F28" i="8" l="1"/>
  <c r="H6" i="14"/>
  <c r="H10" i="14" s="1"/>
  <c r="H26" i="7"/>
  <c r="G24" i="8" l="1"/>
  <c r="G25" i="8" s="1"/>
  <c r="H16" i="7" s="1"/>
  <c r="H13" i="32"/>
  <c r="H50" i="6"/>
  <c r="H38" i="4" s="1"/>
  <c r="H27" i="7"/>
  <c r="F30" i="8"/>
  <c r="F31" i="8" s="1"/>
  <c r="G27" i="8"/>
  <c r="G17" i="7"/>
  <c r="I6" i="14"/>
  <c r="I10" i="14" s="1"/>
  <c r="I26" i="7"/>
  <c r="H24" i="8" l="1"/>
  <c r="H25" i="8" s="1"/>
  <c r="I13" i="32"/>
  <c r="H16" i="32"/>
  <c r="H15" i="32"/>
  <c r="G43" i="4"/>
  <c r="G30" i="4"/>
  <c r="H28" i="4"/>
  <c r="H27" i="4"/>
  <c r="I50" i="6"/>
  <c r="I38" i="4" s="1"/>
  <c r="G29" i="7"/>
  <c r="G49" i="6"/>
  <c r="G37" i="4" s="1"/>
  <c r="G28" i="8"/>
  <c r="I16" i="7"/>
  <c r="I27" i="7"/>
  <c r="G30" i="8"/>
  <c r="H27" i="8"/>
  <c r="H17" i="7"/>
  <c r="J6" i="14"/>
  <c r="J10" i="14" s="1"/>
  <c r="K26" i="7" s="1"/>
  <c r="K13" i="32" s="1"/>
  <c r="J26" i="7"/>
  <c r="H21" i="32" l="1"/>
  <c r="E9" i="31" s="1"/>
  <c r="E10" i="31" s="1"/>
  <c r="I24" i="8"/>
  <c r="I25" i="8" s="1"/>
  <c r="J13" i="32"/>
  <c r="K16" i="32"/>
  <c r="K15" i="32"/>
  <c r="I16" i="32"/>
  <c r="I15" i="32"/>
  <c r="H43" i="4"/>
  <c r="H30" i="4"/>
  <c r="I28" i="4"/>
  <c r="I27" i="4"/>
  <c r="J24" i="8"/>
  <c r="J25" i="8" s="1"/>
  <c r="K50" i="6"/>
  <c r="K38" i="4" s="1"/>
  <c r="J50" i="6"/>
  <c r="J38" i="4" s="1"/>
  <c r="G31" i="8"/>
  <c r="H28" i="8"/>
  <c r="H29" i="7"/>
  <c r="H49" i="6"/>
  <c r="H37" i="4" s="1"/>
  <c r="K27" i="7"/>
  <c r="H30" i="8"/>
  <c r="I27" i="8"/>
  <c r="I17" i="7"/>
  <c r="J16" i="7"/>
  <c r="J27" i="7"/>
  <c r="K21" i="32" l="1"/>
  <c r="H9" i="31" s="1"/>
  <c r="H10" i="31"/>
  <c r="I21" i="32"/>
  <c r="F9" i="31" s="1"/>
  <c r="F10" i="31" s="1"/>
  <c r="J16" i="32"/>
  <c r="J15" i="32"/>
  <c r="I43" i="4"/>
  <c r="I30" i="4"/>
  <c r="J28" i="4"/>
  <c r="J27" i="4"/>
  <c r="H31" i="8"/>
  <c r="I29" i="7"/>
  <c r="I49" i="6"/>
  <c r="I37" i="4" s="1"/>
  <c r="K16" i="7"/>
  <c r="J27" i="8"/>
  <c r="J28" i="8" s="1"/>
  <c r="I30" i="8"/>
  <c r="J17" i="7"/>
  <c r="I28" i="8"/>
  <c r="J21" i="32" l="1"/>
  <c r="G9" i="31" s="1"/>
  <c r="G10" i="31" s="1"/>
  <c r="C20" i="31"/>
  <c r="J49" i="6"/>
  <c r="J37" i="4" s="1"/>
  <c r="J43" i="4"/>
  <c r="J30" i="4"/>
  <c r="K28" i="4"/>
  <c r="K27" i="4"/>
  <c r="J29" i="7"/>
  <c r="I31" i="8"/>
  <c r="J30" i="8"/>
  <c r="J31" i="8" s="1"/>
  <c r="K17" i="7"/>
  <c r="B22" i="31" l="1"/>
  <c r="C22" i="31"/>
  <c r="C23" i="31"/>
  <c r="K43" i="4"/>
  <c r="K30" i="4"/>
  <c r="K29" i="7"/>
  <c r="K49" i="6"/>
  <c r="K37" i="4" s="1"/>
  <c r="G6"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BEC5D4-98B5-4B4E-B551-DE53FC25CAA5}" keepAlive="1" name="Query - BRITANNIA" description="Connection to the 'BRITANNIA' query in the workbook." type="5" refreshedVersion="0" background="1">
    <dbPr connection="Provider=Microsoft.Mashup.OleDb.1;Data Source=$Workbook$;Location=BRITANNIA;Extended Properties=&quot;&quot;" command="SELECT * FROM [BRITANNIA]"/>
  </connection>
  <connection id="2" xr16:uid="{F0AF587A-15DB-4FFC-B634-179C7A54D4DD}" keepAlive="1" interval="1" name="Query - BRITANNIA Price" description="Connection to the 'BRITANNIA Price' query in the workbook." type="5" refreshedVersion="8" background="1" refreshOnLoad="1" saveData="1">
    <dbPr connection="Provider=Microsoft.Mashup.OleDb.1;Data Source=$Workbook$;Location=&quot;BRITANNIA Price&quot;;Extended Properties=&quot;&quot;" command="SELECT * FROM [BRITANNIA Price]"/>
  </connection>
</connections>
</file>

<file path=xl/sharedStrings.xml><?xml version="1.0" encoding="utf-8"?>
<sst xmlns="http://schemas.openxmlformats.org/spreadsheetml/2006/main" count="496" uniqueCount="388">
  <si>
    <t xml:space="preserve"> (b) Financial assets</t>
  </si>
  <si>
    <t xml:space="preserve"> (A) Non-current liabilities</t>
  </si>
  <si>
    <t xml:space="preserve"> (a) Financial liabilities</t>
  </si>
  <si>
    <t xml:space="preserve"> (B) Current liabilities</t>
  </si>
  <si>
    <t xml:space="preserve"> (a) Property, plant and equipment </t>
  </si>
  <si>
    <t>Balance sheet</t>
  </si>
  <si>
    <t xml:space="preserve"> (f) Deferred tax assets (net) </t>
  </si>
  <si>
    <t xml:space="preserve"> Total non-current assets </t>
  </si>
  <si>
    <t xml:space="preserve">  (b) total outstanding dues of creditors other than micro enterprises and small enterprises </t>
  </si>
  <si>
    <t xml:space="preserve"> Total current liabilities </t>
  </si>
  <si>
    <t xml:space="preserve"> Total liabilities </t>
  </si>
  <si>
    <t xml:space="preserve"> Total equity and liabilities </t>
  </si>
  <si>
    <t xml:space="preserve"> (ii) Lease liabilities 20 (b)</t>
  </si>
  <si>
    <t xml:space="preserve"> (i) Borrowings 20 (a) </t>
  </si>
  <si>
    <t xml:space="preserve"> (iv) Bank balances other than (iii) above </t>
  </si>
  <si>
    <t xml:space="preserve"> Total non-current liabilities </t>
  </si>
  <si>
    <t xml:space="preserve"> Total equity</t>
  </si>
  <si>
    <t xml:space="preserve"> Total assets </t>
  </si>
  <si>
    <t xml:space="preserve"> Total current assets </t>
  </si>
  <si>
    <t xml:space="preserve"> Assets</t>
  </si>
  <si>
    <t xml:space="preserve"> (b) Capital work-in-progress </t>
  </si>
  <si>
    <t xml:space="preserve"> (c) Investment property </t>
  </si>
  <si>
    <t xml:space="preserve"> (g) Tax assets (net) </t>
  </si>
  <si>
    <t xml:space="preserve"> (h) Other non-current assets </t>
  </si>
  <si>
    <t xml:space="preserve"> (a) Inventories </t>
  </si>
  <si>
    <t xml:space="preserve"> (i) Investments </t>
  </si>
  <si>
    <t xml:space="preserve"> (ii) Trade receivables  </t>
  </si>
  <si>
    <t xml:space="preserve"> (iii) Cash and cash equivalents </t>
  </si>
  <si>
    <t xml:space="preserve"> (v) Loans receivable  </t>
  </si>
  <si>
    <t xml:space="preserve"> (vi) Other financial assets </t>
  </si>
  <si>
    <t xml:space="preserve"> (c) Other current assets </t>
  </si>
  <si>
    <t xml:space="preserve"> (d) Assets held-for-sale </t>
  </si>
  <si>
    <t xml:space="preserve"> (a) Equity share capital  </t>
  </si>
  <si>
    <t xml:space="preserve"> (b) Other equity </t>
  </si>
  <si>
    <t xml:space="preserve"> (iii) Other financial liabilities  </t>
  </si>
  <si>
    <t xml:space="preserve"> (iii) Trade payables </t>
  </si>
  <si>
    <t xml:space="preserve">  (a) total outstanding dues of micro enterprises and  small enterprises </t>
  </si>
  <si>
    <t xml:space="preserve"> (iv) Other financial liabilities </t>
  </si>
  <si>
    <t xml:space="preserve"> (b) Other current liabilities  </t>
  </si>
  <si>
    <t xml:space="preserve"> (c) Provisions </t>
  </si>
  <si>
    <t xml:space="preserve"> (d) Tax liabilities (net)  </t>
  </si>
  <si>
    <t xml:space="preserve"> Equity and liabilities</t>
  </si>
  <si>
    <t>I</t>
  </si>
  <si>
    <t>II</t>
  </si>
  <si>
    <r>
      <t xml:space="preserve"> </t>
    </r>
    <r>
      <rPr>
        <b/>
        <sz val="11"/>
        <color theme="1"/>
        <rFont val="Calibri"/>
        <family val="2"/>
        <scheme val="minor"/>
      </rPr>
      <t>(1)</t>
    </r>
    <r>
      <rPr>
        <sz val="11"/>
        <color theme="1"/>
        <rFont val="Calibri"/>
        <family val="2"/>
        <scheme val="minor"/>
      </rPr>
      <t xml:space="preserve"> Non-current assets</t>
    </r>
  </si>
  <si>
    <r>
      <t xml:space="preserve"> </t>
    </r>
    <r>
      <rPr>
        <b/>
        <sz val="11"/>
        <color theme="1"/>
        <rFont val="Calibri"/>
        <family val="2"/>
        <scheme val="minor"/>
      </rPr>
      <t>(2)</t>
    </r>
    <r>
      <rPr>
        <sz val="11"/>
        <color theme="1"/>
        <rFont val="Calibri"/>
        <family val="2"/>
        <scheme val="minor"/>
      </rPr>
      <t xml:space="preserve"> Current assets</t>
    </r>
  </si>
  <si>
    <r>
      <t xml:space="preserve"> </t>
    </r>
    <r>
      <rPr>
        <b/>
        <sz val="11"/>
        <color theme="1"/>
        <rFont val="Calibri"/>
        <family val="2"/>
        <scheme val="minor"/>
      </rPr>
      <t>(1)</t>
    </r>
    <r>
      <rPr>
        <sz val="11"/>
        <color theme="1"/>
        <rFont val="Calibri"/>
        <family val="2"/>
        <scheme val="minor"/>
      </rPr>
      <t xml:space="preserve"> Equity</t>
    </r>
  </si>
  <si>
    <r>
      <rPr>
        <b/>
        <sz val="11"/>
        <color theme="1"/>
        <rFont val="Calibri"/>
        <family val="2"/>
        <scheme val="minor"/>
      </rPr>
      <t xml:space="preserve"> (2)</t>
    </r>
    <r>
      <rPr>
        <sz val="11"/>
        <color theme="1"/>
        <rFont val="Calibri"/>
        <family val="2"/>
        <scheme val="minor"/>
      </rPr>
      <t xml:space="preserve"> Liabilities</t>
    </r>
  </si>
  <si>
    <t>Income Statement</t>
  </si>
  <si>
    <t>Other operating revenues</t>
  </si>
  <si>
    <t>Employee benefits expense</t>
  </si>
  <si>
    <t>(i) Current tax</t>
  </si>
  <si>
    <t>(ii) Deferred tax ( )</t>
  </si>
  <si>
    <t>Other comprehensive (loss) income, net of tax ( )</t>
  </si>
  <si>
    <t>V</t>
  </si>
  <si>
    <t>Revenue from operations</t>
  </si>
  <si>
    <t>Other income</t>
  </si>
  <si>
    <t>III</t>
  </si>
  <si>
    <t>IV</t>
  </si>
  <si>
    <t xml:space="preserve">Sale of goods </t>
  </si>
  <si>
    <t xml:space="preserve">Cost of materials consumed </t>
  </si>
  <si>
    <t xml:space="preserve">Purchases of stock-in-trade </t>
  </si>
  <si>
    <t xml:space="preserve">Changes in inventories of finished goods, work-in-progress and stock- in-trade </t>
  </si>
  <si>
    <t xml:space="preserve">Depreciation and amortisation expense </t>
  </si>
  <si>
    <t xml:space="preserve">Other expenses </t>
  </si>
  <si>
    <t>VI</t>
  </si>
  <si>
    <t>VII</t>
  </si>
  <si>
    <t>Tax expense (credit)</t>
  </si>
  <si>
    <t xml:space="preserve">Profit before tax </t>
  </si>
  <si>
    <t>FORECAST</t>
  </si>
  <si>
    <t>ACTUAL</t>
  </si>
  <si>
    <t>EBITDA</t>
  </si>
  <si>
    <t xml:space="preserve">EBIT </t>
  </si>
  <si>
    <t>Profit After Tax (PAT)</t>
  </si>
  <si>
    <t xml:space="preserve">Total Revenue </t>
  </si>
  <si>
    <t>Gross Profit (I-V)</t>
  </si>
  <si>
    <t>Total comprehensive income for the year (VI-VII)</t>
  </si>
  <si>
    <t>Gross Profit %</t>
  </si>
  <si>
    <t>EBITDA %</t>
  </si>
  <si>
    <t>PAT %</t>
  </si>
  <si>
    <t>(in crores)</t>
  </si>
  <si>
    <t xml:space="preserve">Basic </t>
  </si>
  <si>
    <t>Diluted</t>
  </si>
  <si>
    <t xml:space="preserve">No. of Shares </t>
  </si>
  <si>
    <t>Basic</t>
  </si>
  <si>
    <t>Dilueted</t>
  </si>
  <si>
    <r>
      <t>Earning Per Share</t>
    </r>
    <r>
      <rPr>
        <sz val="11"/>
        <color theme="1"/>
        <rFont val="Calibri"/>
        <family val="2"/>
        <scheme val="minor"/>
      </rPr>
      <t xml:space="preserve"> (face value as 1)</t>
    </r>
  </si>
  <si>
    <t>Total Revenues</t>
  </si>
  <si>
    <t>Gross Profit</t>
  </si>
  <si>
    <t>Operating and other expenses</t>
  </si>
  <si>
    <t>D&amp;A</t>
  </si>
  <si>
    <t>EBIT</t>
  </si>
  <si>
    <t>Profit Before Tax</t>
  </si>
  <si>
    <t>Profit After Tax</t>
  </si>
  <si>
    <t>Tax expense</t>
  </si>
  <si>
    <t>Other Income</t>
  </si>
  <si>
    <t xml:space="preserve">Cost Of Goods Sold </t>
  </si>
  <si>
    <t xml:space="preserve">Exceptional items </t>
  </si>
  <si>
    <t>Y-o-Y Growth (Revenues)</t>
  </si>
  <si>
    <t>best case</t>
  </si>
  <si>
    <t>base case</t>
  </si>
  <si>
    <t>worst case</t>
  </si>
  <si>
    <t>Y-o-Y Growth (Other Revenues)</t>
  </si>
  <si>
    <t>COGS as a % of Revenues</t>
  </si>
  <si>
    <t>Opex and other Expenses as a % of Revenue</t>
  </si>
  <si>
    <t>Exceptional Items as % of Revenue</t>
  </si>
  <si>
    <t>Tax as a % of Profit Before Tax(PBT)</t>
  </si>
  <si>
    <t xml:space="preserve">Balance sheet </t>
  </si>
  <si>
    <t>PP&amp;E</t>
  </si>
  <si>
    <t>Inventory</t>
  </si>
  <si>
    <t>Trade receivable</t>
  </si>
  <si>
    <t>Trade payable</t>
  </si>
  <si>
    <t xml:space="preserve">            (i) Investments</t>
  </si>
  <si>
    <t xml:space="preserve">           (ii) Loans receivable  </t>
  </si>
  <si>
    <t xml:space="preserve">          (iii) Other financial assets  </t>
  </si>
  <si>
    <t>CWIP</t>
  </si>
  <si>
    <t>Investment property</t>
  </si>
  <si>
    <t>Asset Held for sale</t>
  </si>
  <si>
    <t>Cash and Cash equivalents</t>
  </si>
  <si>
    <t xml:space="preserve">Total Assets </t>
  </si>
  <si>
    <t>Provisions</t>
  </si>
  <si>
    <t>Shareholders' Equity</t>
  </si>
  <si>
    <t>Total Liabilities</t>
  </si>
  <si>
    <t>Total Liabilities and Equity</t>
  </si>
  <si>
    <t>Check</t>
  </si>
  <si>
    <t>DSO (Days Sales Outstanding)</t>
  </si>
  <si>
    <t>DPO (Days Payable Outstanding)</t>
  </si>
  <si>
    <t>DIO (Days Inventory Outstanding)</t>
  </si>
  <si>
    <t>Other liabilities</t>
  </si>
  <si>
    <t>Provision change YoY</t>
  </si>
  <si>
    <t>Other Liabilities as a % of Revenue</t>
  </si>
  <si>
    <t>forecast</t>
  </si>
  <si>
    <t>$ in million</t>
  </si>
  <si>
    <t>beginning PPE</t>
  </si>
  <si>
    <t>Capex</t>
  </si>
  <si>
    <t>Ending PPE</t>
  </si>
  <si>
    <t>D&amp;A as %of beginning ppe</t>
  </si>
  <si>
    <t>capex as % of beginning ppe</t>
  </si>
  <si>
    <t>taken as avg</t>
  </si>
  <si>
    <t>taken as last yr only due to unstable capex</t>
  </si>
  <si>
    <t>beginning debt</t>
  </si>
  <si>
    <t>new debt</t>
  </si>
  <si>
    <t>principals repayments</t>
  </si>
  <si>
    <t>Ending debt</t>
  </si>
  <si>
    <t>period</t>
  </si>
  <si>
    <t>payment</t>
  </si>
  <si>
    <t>interest expense</t>
  </si>
  <si>
    <t>debt repayment</t>
  </si>
  <si>
    <t>residual debt</t>
  </si>
  <si>
    <t>debt to be repaid in Yr.</t>
  </si>
  <si>
    <t xml:space="preserve">interest </t>
  </si>
  <si>
    <t>annual payment</t>
  </si>
  <si>
    <t>TRENDS</t>
  </si>
  <si>
    <t>PP&amp;E Schedule</t>
  </si>
  <si>
    <t>Financial Liabilities</t>
  </si>
  <si>
    <t>NOPAT</t>
  </si>
  <si>
    <t>Gross Cash Flow</t>
  </si>
  <si>
    <t>opening cash</t>
  </si>
  <si>
    <t>closing cash</t>
  </si>
  <si>
    <t xml:space="preserve">check </t>
  </si>
  <si>
    <t xml:space="preserve">Cash Flow </t>
  </si>
  <si>
    <t>Operating Taxes</t>
  </si>
  <si>
    <t>Add Back D&amp;A</t>
  </si>
  <si>
    <t>Trade Receiveable</t>
  </si>
  <si>
    <t>Trade Payable</t>
  </si>
  <si>
    <t>Investment In Working Capital</t>
  </si>
  <si>
    <t>UFCF (Unlevered Free Cash Flow)</t>
  </si>
  <si>
    <t>FY23</t>
  </si>
  <si>
    <t>FY24</t>
  </si>
  <si>
    <t>FY25</t>
  </si>
  <si>
    <t>FY26</t>
  </si>
  <si>
    <t>FY27</t>
  </si>
  <si>
    <t>FY28</t>
  </si>
  <si>
    <t>FY29</t>
  </si>
  <si>
    <t>Delta Taxes vs. Operating taxes</t>
  </si>
  <si>
    <t>Delta Financial liabilities</t>
  </si>
  <si>
    <t>Net Cash Flow</t>
  </si>
  <si>
    <t xml:space="preserve">Equity Schedule </t>
  </si>
  <si>
    <t>beginning equity</t>
  </si>
  <si>
    <t>inrease in capital</t>
  </si>
  <si>
    <t>net income(loss)</t>
  </si>
  <si>
    <t>dividends</t>
  </si>
  <si>
    <t>ending equity</t>
  </si>
  <si>
    <t>dividends as% of net income ( as per Financial Reports)</t>
  </si>
  <si>
    <t>Delta Equity inc dividend</t>
  </si>
  <si>
    <t>Interest Expenses</t>
  </si>
  <si>
    <t>other assets</t>
  </si>
  <si>
    <t>other liabilities</t>
  </si>
  <si>
    <t>Delta Provisions</t>
  </si>
  <si>
    <t xml:space="preserve">Exceptional Items </t>
  </si>
  <si>
    <t xml:space="preserve">HISTORICAL DATA </t>
  </si>
  <si>
    <t>FY22</t>
  </si>
  <si>
    <t>CHARTS</t>
  </si>
  <si>
    <t>Revenue &amp; EBITDA Chart</t>
  </si>
  <si>
    <t>Revenue</t>
  </si>
  <si>
    <t>EBITDA%</t>
  </si>
  <si>
    <t>In Crores</t>
  </si>
  <si>
    <t>Working Capital</t>
  </si>
  <si>
    <t>Trade Recieveable</t>
  </si>
  <si>
    <t>DSO</t>
  </si>
  <si>
    <t>DPO</t>
  </si>
  <si>
    <t>DIO</t>
  </si>
  <si>
    <t>ROA (Return On Assets)</t>
  </si>
  <si>
    <t>ROE (Return On Equity)</t>
  </si>
  <si>
    <t>INTRODUCTION</t>
  </si>
  <si>
    <t>Net Trading cycle</t>
  </si>
  <si>
    <t>PEER COMPARISON</t>
  </si>
  <si>
    <t xml:space="preserve"> (e) Other Intangible assets  </t>
  </si>
  <si>
    <t xml:space="preserve"> (g) Financial assets</t>
  </si>
  <si>
    <t>Non Current Financial liabilities</t>
  </si>
  <si>
    <t>Other Intangible assets</t>
  </si>
  <si>
    <t>GP%</t>
  </si>
  <si>
    <t>Britannia Industries</t>
  </si>
  <si>
    <t>Nestle India</t>
  </si>
  <si>
    <t>Hindustan unilever ltd</t>
  </si>
  <si>
    <t>Comparable FMCG companies</t>
  </si>
  <si>
    <t>Revenue as on 2024 (In Cr)</t>
  </si>
  <si>
    <t>Market Cap. (in Cr)</t>
  </si>
  <si>
    <t>Godrej Consumer</t>
  </si>
  <si>
    <t>Gross Profit as on 2024</t>
  </si>
  <si>
    <t>Revenue Growth Comparison YoY</t>
  </si>
  <si>
    <t>Peer Comparison Charts</t>
  </si>
  <si>
    <t>YoY Growth Revenue</t>
  </si>
  <si>
    <t xml:space="preserve">Ratios </t>
  </si>
  <si>
    <t>EPS</t>
  </si>
  <si>
    <t>ROA</t>
  </si>
  <si>
    <t>ROE</t>
  </si>
  <si>
    <t xml:space="preserve">Net Trading Cycle </t>
  </si>
  <si>
    <t>ROCE %</t>
  </si>
  <si>
    <t>Dabur India</t>
  </si>
  <si>
    <t>Key Financial Ratios</t>
  </si>
  <si>
    <t>FY 22</t>
  </si>
  <si>
    <t>FY 24</t>
  </si>
  <si>
    <t>FY 25</t>
  </si>
  <si>
    <t>FY 26</t>
  </si>
  <si>
    <t>FY 27</t>
  </si>
  <si>
    <t>FY 28</t>
  </si>
  <si>
    <t>FY 29</t>
  </si>
  <si>
    <t>Liquidity Ratios</t>
  </si>
  <si>
    <t>Current Financial Assets</t>
  </si>
  <si>
    <t>Non Current Financial assets</t>
  </si>
  <si>
    <t>Other Current Assets</t>
  </si>
  <si>
    <t>Other Non Current Assets</t>
  </si>
  <si>
    <t>Other Non Current Assets as a % of Revenue</t>
  </si>
  <si>
    <t xml:space="preserve">Other Current Assets as a % of Revenue </t>
  </si>
  <si>
    <t xml:space="preserve">Current Ratio </t>
  </si>
  <si>
    <t>Current Financial liabilities</t>
  </si>
  <si>
    <t>Current Fianancial Liabilties YoY</t>
  </si>
  <si>
    <t xml:space="preserve">Quick ratio </t>
  </si>
  <si>
    <t>Solvency Ratios</t>
  </si>
  <si>
    <t>Debt Ratio</t>
  </si>
  <si>
    <t>Interest Coverage Ratio</t>
  </si>
  <si>
    <t>Profitablitiy Ratios</t>
  </si>
  <si>
    <t>Net Profit Margin</t>
  </si>
  <si>
    <t xml:space="preserve">Gross profit Margin </t>
  </si>
  <si>
    <t>EBIT Margin</t>
  </si>
  <si>
    <t xml:space="preserve">EBT Margin </t>
  </si>
  <si>
    <t xml:space="preserve">Efficiency Ratios </t>
  </si>
  <si>
    <t>FORECASTED</t>
  </si>
  <si>
    <t>Asset Turnover Ratio</t>
  </si>
  <si>
    <t xml:space="preserve">Valuation Ratios </t>
  </si>
  <si>
    <t>P/E Ratio</t>
  </si>
  <si>
    <t>EPS till Date</t>
  </si>
  <si>
    <t>Peer Comparison Data For Related FMCG Companies</t>
  </si>
  <si>
    <t>Total market Size of Biscuit Industry</t>
  </si>
  <si>
    <t>Britannia</t>
  </si>
  <si>
    <t xml:space="preserve">Parle </t>
  </si>
  <si>
    <t>ITC</t>
  </si>
  <si>
    <t>Priya gold</t>
  </si>
  <si>
    <t>Anmol Industries</t>
  </si>
  <si>
    <t>Others</t>
  </si>
  <si>
    <t>Market Big Players</t>
  </si>
  <si>
    <t>% of market share</t>
  </si>
  <si>
    <t>Peer Comparison According to Britannia Categories</t>
  </si>
  <si>
    <t xml:space="preserve">Biscuit Industry </t>
  </si>
  <si>
    <t xml:space="preserve">Revenue Distribution Of britannia </t>
  </si>
  <si>
    <t xml:space="preserve">Biscuits </t>
  </si>
  <si>
    <t>Dairy Products</t>
  </si>
  <si>
    <t>Total</t>
  </si>
  <si>
    <t>% of Revenue</t>
  </si>
  <si>
    <t>Cheese</t>
  </si>
  <si>
    <t>% of Market Share</t>
  </si>
  <si>
    <t>in Crores</t>
  </si>
  <si>
    <t>Amul</t>
  </si>
  <si>
    <t>Parag Milk Foods(Go Cheese)</t>
  </si>
  <si>
    <t>Mother Dairy</t>
  </si>
  <si>
    <t>Karnataka Milk Federation (Nandini)</t>
  </si>
  <si>
    <t>Total Market Size of Cheese Industry</t>
  </si>
  <si>
    <t>Parle Agro</t>
  </si>
  <si>
    <t>CavinKare</t>
  </si>
  <si>
    <t>Total Market Size of Flavoured Milk Industry</t>
  </si>
  <si>
    <t xml:space="preserve">Flavoured Milk </t>
  </si>
  <si>
    <t>Data Source</t>
  </si>
  <si>
    <t>https://www.screener.in/company/BRITANNIA/#top</t>
  </si>
  <si>
    <t>https://finance.yahoo.com/quote/BRITANNIA.NS/</t>
  </si>
  <si>
    <t>https://www.screener.in/company/BRITANNIA/#documents</t>
  </si>
  <si>
    <t>https://chatgpt.com/</t>
  </si>
  <si>
    <r>
      <t>*</t>
    </r>
    <r>
      <rPr>
        <sz val="11"/>
        <color rgb="FF002060"/>
        <rFont val="Calibri"/>
        <family val="2"/>
        <scheme val="minor"/>
      </rPr>
      <t>Britannia is also a major player in Cakes and Bread market but Market Share and Other Details are not Available</t>
    </r>
    <r>
      <rPr>
        <sz val="11"/>
        <color theme="1"/>
        <rFont val="Calibri"/>
        <family val="2"/>
        <scheme val="minor"/>
      </rPr>
      <t>.</t>
    </r>
  </si>
  <si>
    <t xml:space="preserve">Risk free rate </t>
  </si>
  <si>
    <t xml:space="preserve">market Risk premium </t>
  </si>
  <si>
    <t xml:space="preserve">Beta </t>
  </si>
  <si>
    <t>current bond yeild</t>
  </si>
  <si>
    <t>Tax Rate</t>
  </si>
  <si>
    <t xml:space="preserve">WACC </t>
  </si>
  <si>
    <t>Cost of Equity</t>
  </si>
  <si>
    <t>Debt</t>
  </si>
  <si>
    <t>Equity</t>
  </si>
  <si>
    <t>Debt/(Debt+Equity)</t>
  </si>
  <si>
    <t>Equity/(Debt+Equity)</t>
  </si>
  <si>
    <t>WACC</t>
  </si>
  <si>
    <t>Cost of Debt</t>
  </si>
  <si>
    <t>g (Growth rate)</t>
  </si>
  <si>
    <t>UFCF</t>
  </si>
  <si>
    <t>Discounting Factor</t>
  </si>
  <si>
    <t>Present value of UFCF</t>
  </si>
  <si>
    <t>Terminal Value</t>
  </si>
  <si>
    <t>present value of TV</t>
  </si>
  <si>
    <t>Sum of PV of UFCF</t>
  </si>
  <si>
    <t>Enterprise Value</t>
  </si>
  <si>
    <t>Equity Value</t>
  </si>
  <si>
    <t>Net Debt</t>
  </si>
  <si>
    <t xml:space="preserve">Cash Flow Statement </t>
  </si>
  <si>
    <t>Cash flow from investing activities</t>
  </si>
  <si>
    <t>Cash flow from Financing activities</t>
  </si>
  <si>
    <t>Cash flow from opertaing activities</t>
  </si>
  <si>
    <t>Cash and Cash equivalent</t>
  </si>
  <si>
    <t>Net Cash flow</t>
  </si>
  <si>
    <t>Total Share Outstanding</t>
  </si>
  <si>
    <t>Actual Share Price</t>
  </si>
  <si>
    <t>Name</t>
  </si>
  <si>
    <t>Value</t>
  </si>
  <si>
    <t>[List]</t>
  </si>
  <si>
    <t>currency</t>
  </si>
  <si>
    <t>INR</t>
  </si>
  <si>
    <t>symbol</t>
  </si>
  <si>
    <t>BRITANNIA.NS</t>
  </si>
  <si>
    <t>exchangeName</t>
  </si>
  <si>
    <t>NSI</t>
  </si>
  <si>
    <t>fullExchangeName</t>
  </si>
  <si>
    <t>NSE</t>
  </si>
  <si>
    <t>instrumentType</t>
  </si>
  <si>
    <t>EQUITY</t>
  </si>
  <si>
    <t>firstTradeDate</t>
  </si>
  <si>
    <t>regularMarketTime</t>
  </si>
  <si>
    <t>hasPrePostMarketData</t>
  </si>
  <si>
    <t>gmtoffset</t>
  </si>
  <si>
    <t>timezone</t>
  </si>
  <si>
    <t>IST</t>
  </si>
  <si>
    <t>exchangeTimezoneName</t>
  </si>
  <si>
    <t>Asia/Kolkata</t>
  </si>
  <si>
    <t>regularMarketPrice</t>
  </si>
  <si>
    <t>fiftyTwoWeekHigh</t>
  </si>
  <si>
    <t>fiftyTwoWeekLow</t>
  </si>
  <si>
    <t>regularMarketDayHigh</t>
  </si>
  <si>
    <t>regularMarketDayLow</t>
  </si>
  <si>
    <t>regularMarketVolume</t>
  </si>
  <si>
    <t>longName</t>
  </si>
  <si>
    <t>Britannia Industries Limited</t>
  </si>
  <si>
    <t>shortName</t>
  </si>
  <si>
    <t>BRITANNIA INDUSTRIES LTD</t>
  </si>
  <si>
    <t>chartPreviousClose</t>
  </si>
  <si>
    <t>priceHint</t>
  </si>
  <si>
    <t>currentTradingPeriod</t>
  </si>
  <si>
    <t>[Record]</t>
  </si>
  <si>
    <t>dataGranularity</t>
  </si>
  <si>
    <t>1d</t>
  </si>
  <si>
    <t>range</t>
  </si>
  <si>
    <t>validRanges</t>
  </si>
  <si>
    <t>Discounted Cash Flow</t>
  </si>
  <si>
    <t>Company Summary</t>
  </si>
  <si>
    <t>Peer comparison FMCG</t>
  </si>
  <si>
    <t>Peer Comparison Categories</t>
  </si>
  <si>
    <t>P&amp;L Forecast</t>
  </si>
  <si>
    <t>BS Forecast</t>
  </si>
  <si>
    <t>Cash Flow Forecast</t>
  </si>
  <si>
    <t>Britannia Stock Data</t>
  </si>
  <si>
    <t>Cash Flow</t>
  </si>
  <si>
    <t>BS</t>
  </si>
  <si>
    <t>P&amp;L</t>
  </si>
  <si>
    <t>Revenues&amp;EBITDA</t>
  </si>
  <si>
    <t>PP&amp;E schedule</t>
  </si>
  <si>
    <t>financial liabilites</t>
  </si>
  <si>
    <t>Equity Schedule</t>
  </si>
  <si>
    <t xml:space="preserve">DCF </t>
  </si>
  <si>
    <t>BUY/HOLD/SELL</t>
  </si>
  <si>
    <t>*Click g for sensitivity Analysis</t>
  </si>
  <si>
    <t>*In Crores</t>
  </si>
  <si>
    <t xml:space="preserve">Instrinsic Share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</si>
</sst>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
    <numFmt numFmtId="165" formatCode="0.0%"/>
    <numFmt numFmtId="166" formatCode="0.0"/>
    <numFmt numFmtId="167" formatCode="_(* #,##0.0_);_(* \(#,##0.0\);_(* &quot;-&quot;?_);@_)"/>
    <numFmt numFmtId="168" formatCode="_(* #,##0.0_);_(* \(#,##0.0\);_(* &quot;-&quot;?_);@_l"/>
    <numFmt numFmtId="169" formatCode="_(* #,##0.00_);_(* \(#,##0.00\);_(* &quot;-&quot;?_);@_l"/>
    <numFmt numFmtId="170" formatCode="&quot;₹&quot;\ #,##0.00"/>
  </numFmts>
  <fonts count="40" x14ac:knownFonts="1">
    <font>
      <sz val="11"/>
      <color theme="1"/>
      <name val="Calibri"/>
      <family val="2"/>
      <scheme val="minor"/>
    </font>
    <font>
      <sz val="11"/>
      <color theme="1"/>
      <name val="Calibri"/>
      <family val="2"/>
    </font>
    <font>
      <b/>
      <sz val="11"/>
      <color theme="0"/>
      <name val="Calibri"/>
      <family val="2"/>
      <scheme val="minor"/>
    </font>
    <font>
      <sz val="11"/>
      <color rgb="FFFF0000"/>
      <name val="Calibri"/>
      <family val="2"/>
      <scheme val="minor"/>
    </font>
    <font>
      <b/>
      <sz val="11"/>
      <color theme="1"/>
      <name val="Calibri"/>
      <family val="2"/>
      <scheme val="minor"/>
    </font>
    <font>
      <sz val="12"/>
      <color rgb="FF002060"/>
      <name val="Arial"/>
      <family val="2"/>
    </font>
    <font>
      <b/>
      <sz val="12"/>
      <color rgb="FF002060"/>
      <name val="Arial"/>
      <family val="2"/>
    </font>
    <font>
      <sz val="8"/>
      <name val="Calibri"/>
      <family val="2"/>
      <scheme val="minor"/>
    </font>
    <font>
      <sz val="11"/>
      <color theme="1"/>
      <name val="Calibri"/>
      <family val="2"/>
      <scheme val="minor"/>
    </font>
    <font>
      <b/>
      <sz val="11"/>
      <color theme="2"/>
      <name val="Calibri"/>
      <family val="2"/>
      <scheme val="minor"/>
    </font>
    <font>
      <sz val="11"/>
      <color theme="0"/>
      <name val="Calibri"/>
      <family val="2"/>
      <scheme val="minor"/>
    </font>
    <font>
      <b/>
      <sz val="12"/>
      <color theme="0"/>
      <name val="Arial"/>
      <family val="2"/>
    </font>
    <font>
      <b/>
      <sz val="14"/>
      <color rgb="FF002060"/>
      <name val="Arial"/>
      <family val="2"/>
    </font>
    <font>
      <b/>
      <sz val="10"/>
      <color theme="0"/>
      <name val="Arial"/>
      <family val="2"/>
    </font>
    <font>
      <sz val="10"/>
      <color theme="1"/>
      <name val="Arial"/>
      <family val="2"/>
    </font>
    <font>
      <b/>
      <sz val="10"/>
      <color theme="2"/>
      <name val="Arial"/>
      <family val="2"/>
    </font>
    <font>
      <sz val="10"/>
      <color theme="0"/>
      <name val="Arial"/>
      <family val="2"/>
    </font>
    <font>
      <b/>
      <sz val="10"/>
      <color rgb="FF002060"/>
      <name val="Arial"/>
      <family val="2"/>
    </font>
    <font>
      <b/>
      <sz val="10"/>
      <color theme="1"/>
      <name val="Arial"/>
      <family val="2"/>
    </font>
    <font>
      <sz val="11"/>
      <color theme="1"/>
      <name val="Arial"/>
      <family val="2"/>
    </font>
    <font>
      <sz val="9"/>
      <color theme="1"/>
      <name val="Arial"/>
      <family val="2"/>
    </font>
    <font>
      <b/>
      <sz val="11"/>
      <color theme="1"/>
      <name val="Arial"/>
      <family val="2"/>
    </font>
    <font>
      <b/>
      <sz val="11"/>
      <color theme="2"/>
      <name val="Arial"/>
      <family val="2"/>
    </font>
    <font>
      <b/>
      <sz val="11"/>
      <color theme="0"/>
      <name val="Arial"/>
      <family val="2"/>
    </font>
    <font>
      <sz val="11"/>
      <color theme="0"/>
      <name val="Arial"/>
      <family val="2"/>
    </font>
    <font>
      <u/>
      <sz val="11"/>
      <color theme="10"/>
      <name val="Calibri"/>
      <family val="2"/>
      <scheme val="minor"/>
    </font>
    <font>
      <sz val="11"/>
      <color rgb="FFFF0000"/>
      <name val="Arial"/>
      <family val="2"/>
    </font>
    <font>
      <b/>
      <sz val="11"/>
      <color rgb="FFFF0000"/>
      <name val="Arial"/>
      <family val="2"/>
    </font>
    <font>
      <sz val="11"/>
      <color rgb="FF22222F"/>
      <name val="Arial"/>
      <family val="2"/>
    </font>
    <font>
      <sz val="11"/>
      <color rgb="FF22222F"/>
      <name val="Calibri"/>
      <family val="2"/>
    </font>
    <font>
      <sz val="11"/>
      <color rgb="FF22222F"/>
      <name val="Calibri"/>
      <family val="2"/>
    </font>
    <font>
      <sz val="11"/>
      <color theme="1"/>
      <name val="Calibri"/>
      <family val="2"/>
    </font>
    <font>
      <sz val="9"/>
      <color theme="1"/>
      <name val="Calibri"/>
      <family val="2"/>
      <scheme val="minor"/>
    </font>
    <font>
      <sz val="11"/>
      <color rgb="FF002060"/>
      <name val="Calibri"/>
      <family val="2"/>
      <scheme val="minor"/>
    </font>
    <font>
      <u/>
      <sz val="11"/>
      <color theme="1"/>
      <name val="Calibri"/>
      <family val="2"/>
      <scheme val="minor"/>
    </font>
    <font>
      <b/>
      <sz val="11"/>
      <color rgb="FF22222F"/>
      <name val="Arial"/>
      <family val="2"/>
    </font>
    <font>
      <sz val="11"/>
      <color theme="10"/>
      <name val="Calibri"/>
      <family val="2"/>
      <scheme val="minor"/>
    </font>
    <font>
      <b/>
      <sz val="11"/>
      <color theme="10"/>
      <name val="Calibri"/>
      <family val="2"/>
      <scheme val="minor"/>
    </font>
    <font>
      <sz val="8"/>
      <color rgb="FF0070C0"/>
      <name val="Calibri"/>
      <family val="2"/>
      <scheme val="minor"/>
    </font>
    <font>
      <b/>
      <sz val="7"/>
      <color rgb="FF0070C0"/>
      <name val="Calibri"/>
      <family val="2"/>
      <scheme val="minor"/>
    </font>
  </fonts>
  <fills count="1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rgb="FF00206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1"/>
        <bgColor indexed="64"/>
      </patternFill>
    </fill>
    <fill>
      <patternFill patternType="darkGrid">
        <bgColor theme="0"/>
      </patternFill>
    </fill>
    <fill>
      <patternFill patternType="solid">
        <fgColor theme="4" tint="-0.249977111117893"/>
        <bgColor indexed="64"/>
      </patternFill>
    </fill>
    <fill>
      <patternFill patternType="solid">
        <fgColor rgb="FFFFFFFF"/>
        <bgColor indexed="64"/>
      </patternFill>
    </fill>
    <fill>
      <patternFill patternType="mediumGray">
        <bgColor theme="0"/>
      </patternFill>
    </fill>
  </fills>
  <borders count="28">
    <border>
      <left/>
      <right/>
      <top/>
      <bottom/>
      <diagonal/>
    </border>
    <border>
      <left/>
      <right/>
      <top style="thin">
        <color indexed="64"/>
      </top>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9" fontId="8" fillId="0" borderId="0" applyFont="0" applyFill="0" applyBorder="0" applyAlignment="0" applyProtection="0"/>
    <xf numFmtId="0" fontId="25" fillId="0" borderId="0" applyNumberFormat="0" applyFill="0" applyBorder="0" applyAlignment="0" applyProtection="0"/>
  </cellStyleXfs>
  <cellXfs count="341">
    <xf numFmtId="0" fontId="0" fillId="0" borderId="0" xfId="0"/>
    <xf numFmtId="0" fontId="0" fillId="2" borderId="0" xfId="0" applyFill="1"/>
    <xf numFmtId="0" fontId="5" fillId="2" borderId="0" xfId="0" applyFont="1" applyFill="1" applyAlignment="1">
      <alignment horizontal="center"/>
    </xf>
    <xf numFmtId="0" fontId="4" fillId="2" borderId="0" xfId="0" applyFont="1" applyFill="1"/>
    <xf numFmtId="4" fontId="4" fillId="2" borderId="0" xfId="0" applyNumberFormat="1" applyFont="1" applyFill="1"/>
    <xf numFmtId="0" fontId="6" fillId="2" borderId="0" xfId="0" applyFont="1" applyFill="1" applyAlignment="1">
      <alignment horizontal="center"/>
    </xf>
    <xf numFmtId="164" fontId="4" fillId="2" borderId="1" xfId="0" applyNumberFormat="1" applyFont="1" applyFill="1" applyBorder="1"/>
    <xf numFmtId="164" fontId="2" fillId="5" borderId="2" xfId="0" applyNumberFormat="1" applyFont="1" applyFill="1" applyBorder="1"/>
    <xf numFmtId="0" fontId="0" fillId="2" borderId="3" xfId="0" applyFill="1" applyBorder="1"/>
    <xf numFmtId="164" fontId="2" fillId="5" borderId="1" xfId="0" applyNumberFormat="1" applyFont="1" applyFill="1" applyBorder="1"/>
    <xf numFmtId="0" fontId="2" fillId="3" borderId="5" xfId="0" applyFont="1" applyFill="1" applyBorder="1" applyAlignment="1">
      <alignment horizontal="center"/>
    </xf>
    <xf numFmtId="14" fontId="2" fillId="4" borderId="6" xfId="0" applyNumberFormat="1" applyFont="1" applyFill="1" applyBorder="1" applyAlignment="1">
      <alignment horizontal="center"/>
    </xf>
    <xf numFmtId="14" fontId="2" fillId="4" borderId="7" xfId="0" applyNumberFormat="1" applyFont="1" applyFill="1" applyBorder="1" applyAlignment="1">
      <alignment horizontal="center"/>
    </xf>
    <xf numFmtId="0" fontId="4" fillId="2" borderId="8" xfId="0" applyFont="1" applyFill="1" applyBorder="1"/>
    <xf numFmtId="164" fontId="0" fillId="2" borderId="0" xfId="0" applyNumberFormat="1" applyFill="1"/>
    <xf numFmtId="164" fontId="0" fillId="2" borderId="9" xfId="0" applyNumberFormat="1" applyFill="1" applyBorder="1"/>
    <xf numFmtId="0" fontId="0" fillId="2" borderId="8" xfId="0" applyFill="1" applyBorder="1"/>
    <xf numFmtId="0" fontId="4" fillId="2" borderId="10" xfId="0" applyFont="1" applyFill="1" applyBorder="1"/>
    <xf numFmtId="0" fontId="2" fillId="5" borderId="12" xfId="0" applyFont="1" applyFill="1" applyBorder="1"/>
    <xf numFmtId="164" fontId="2" fillId="5" borderId="13" xfId="0" applyNumberFormat="1" applyFont="1" applyFill="1" applyBorder="1"/>
    <xf numFmtId="0" fontId="2" fillId="5" borderId="10" xfId="0" applyFont="1" applyFill="1" applyBorder="1"/>
    <xf numFmtId="164" fontId="4" fillId="2" borderId="0" xfId="0" applyNumberFormat="1" applyFont="1" applyFill="1"/>
    <xf numFmtId="164" fontId="4" fillId="2" borderId="9" xfId="0" applyNumberFormat="1" applyFont="1" applyFill="1" applyBorder="1"/>
    <xf numFmtId="4" fontId="2" fillId="5" borderId="12" xfId="0" applyNumberFormat="1" applyFont="1" applyFill="1" applyBorder="1"/>
    <xf numFmtId="164" fontId="3" fillId="2" borderId="0" xfId="0" applyNumberFormat="1" applyFont="1" applyFill="1"/>
    <xf numFmtId="164" fontId="3" fillId="2" borderId="9" xfId="0" applyNumberFormat="1" applyFont="1" applyFill="1" applyBorder="1"/>
    <xf numFmtId="4" fontId="0" fillId="2" borderId="0" xfId="0" applyNumberFormat="1" applyFill="1"/>
    <xf numFmtId="0" fontId="2" fillId="5" borderId="14" xfId="0" applyFont="1" applyFill="1" applyBorder="1"/>
    <xf numFmtId="4" fontId="3" fillId="2" borderId="0" xfId="0" applyNumberFormat="1" applyFont="1" applyFill="1"/>
    <xf numFmtId="0" fontId="0" fillId="7" borderId="0" xfId="0" applyFill="1"/>
    <xf numFmtId="165" fontId="0" fillId="7" borderId="0" xfId="1" applyNumberFormat="1" applyFont="1" applyFill="1"/>
    <xf numFmtId="14" fontId="2" fillId="2" borderId="0" xfId="0" applyNumberFormat="1" applyFont="1" applyFill="1" applyAlignment="1">
      <alignment horizontal="center"/>
    </xf>
    <xf numFmtId="4" fontId="2" fillId="2" borderId="0" xfId="0" applyNumberFormat="1" applyFont="1" applyFill="1"/>
    <xf numFmtId="165" fontId="0" fillId="2" borderId="0" xfId="1" applyNumberFormat="1" applyFont="1" applyFill="1" applyBorder="1"/>
    <xf numFmtId="164" fontId="0" fillId="0" borderId="0" xfId="0" applyNumberFormat="1"/>
    <xf numFmtId="164" fontId="3" fillId="0" borderId="0" xfId="0" applyNumberFormat="1" applyFont="1"/>
    <xf numFmtId="2" fontId="0" fillId="2" borderId="0" xfId="0" applyNumberFormat="1" applyFill="1"/>
    <xf numFmtId="0" fontId="4" fillId="8" borderId="0" xfId="0" applyFont="1" applyFill="1"/>
    <xf numFmtId="0" fontId="0" fillId="8" borderId="0" xfId="0" applyFill="1"/>
    <xf numFmtId="166" fontId="0" fillId="8" borderId="0" xfId="0" applyNumberFormat="1" applyFill="1"/>
    <xf numFmtId="0" fontId="0" fillId="2" borderId="0" xfId="0" applyFill="1" applyAlignment="1">
      <alignment horizontal="center"/>
    </xf>
    <xf numFmtId="0" fontId="4" fillId="2" borderId="1" xfId="0" applyFont="1" applyFill="1" applyBorder="1"/>
    <xf numFmtId="166" fontId="4" fillId="2" borderId="1" xfId="0" applyNumberFormat="1" applyFont="1" applyFill="1" applyBorder="1"/>
    <xf numFmtId="0" fontId="2" fillId="5" borderId="1" xfId="0" applyFont="1" applyFill="1" applyBorder="1"/>
    <xf numFmtId="166" fontId="2" fillId="5" borderId="1" xfId="0" applyNumberFormat="1" applyFont="1" applyFill="1" applyBorder="1"/>
    <xf numFmtId="0" fontId="11" fillId="6" borderId="0" xfId="0" applyFont="1" applyFill="1" applyAlignment="1">
      <alignment horizontal="center"/>
    </xf>
    <xf numFmtId="9" fontId="0" fillId="9" borderId="0" xfId="0" applyNumberFormat="1" applyFill="1"/>
    <xf numFmtId="9" fontId="4" fillId="10" borderId="0" xfId="1" applyFont="1" applyFill="1"/>
    <xf numFmtId="165" fontId="4" fillId="8" borderId="0" xfId="1" applyNumberFormat="1" applyFont="1" applyFill="1"/>
    <xf numFmtId="9" fontId="4" fillId="8" borderId="0" xfId="1" applyFont="1" applyFill="1"/>
    <xf numFmtId="2" fontId="4" fillId="2" borderId="1" xfId="0" applyNumberFormat="1" applyFont="1" applyFill="1" applyBorder="1"/>
    <xf numFmtId="2" fontId="2" fillId="5" borderId="1" xfId="0" applyNumberFormat="1" applyFont="1" applyFill="1" applyBorder="1"/>
    <xf numFmtId="9" fontId="4" fillId="9" borderId="0" xfId="0" applyNumberFormat="1" applyFont="1" applyFill="1"/>
    <xf numFmtId="165" fontId="0" fillId="11" borderId="0" xfId="1" applyNumberFormat="1" applyFont="1" applyFill="1"/>
    <xf numFmtId="9" fontId="0" fillId="2" borderId="0" xfId="0" applyNumberFormat="1" applyFill="1"/>
    <xf numFmtId="2" fontId="13" fillId="5" borderId="3" xfId="0" applyNumberFormat="1" applyFont="1" applyFill="1" applyBorder="1"/>
    <xf numFmtId="2" fontId="13" fillId="5" borderId="16" xfId="0" applyNumberFormat="1" applyFont="1" applyFill="1" applyBorder="1"/>
    <xf numFmtId="2" fontId="14" fillId="2" borderId="0" xfId="0" applyNumberFormat="1" applyFont="1" applyFill="1"/>
    <xf numFmtId="2" fontId="13" fillId="2" borderId="0" xfId="0" applyNumberFormat="1" applyFont="1" applyFill="1"/>
    <xf numFmtId="0" fontId="14" fillId="2" borderId="0" xfId="0" applyFont="1" applyFill="1"/>
    <xf numFmtId="0" fontId="14" fillId="2" borderId="0" xfId="0" applyFont="1" applyFill="1" applyAlignment="1">
      <alignment horizontal="center"/>
    </xf>
    <xf numFmtId="0" fontId="13" fillId="3" borderId="5" xfId="0" applyFont="1" applyFill="1" applyBorder="1" applyAlignment="1">
      <alignment horizontal="center"/>
    </xf>
    <xf numFmtId="14" fontId="13" fillId="4" borderId="6" xfId="0" applyNumberFormat="1" applyFont="1" applyFill="1" applyBorder="1" applyAlignment="1">
      <alignment horizontal="center"/>
    </xf>
    <xf numFmtId="0" fontId="14" fillId="2" borderId="3" xfId="0" applyFont="1" applyFill="1" applyBorder="1"/>
    <xf numFmtId="167" fontId="14" fillId="2" borderId="0" xfId="0" applyNumberFormat="1" applyFont="1" applyFill="1"/>
    <xf numFmtId="164" fontId="14" fillId="2" borderId="0" xfId="0" applyNumberFormat="1" applyFont="1" applyFill="1"/>
    <xf numFmtId="0" fontId="13" fillId="5" borderId="16" xfId="0" applyFont="1" applyFill="1" applyBorder="1"/>
    <xf numFmtId="0" fontId="13" fillId="2" borderId="0" xfId="0" applyFont="1" applyFill="1"/>
    <xf numFmtId="167" fontId="13" fillId="5" borderId="16" xfId="0" applyNumberFormat="1" applyFont="1" applyFill="1" applyBorder="1"/>
    <xf numFmtId="167" fontId="17" fillId="8" borderId="0" xfId="0" applyNumberFormat="1" applyFont="1" applyFill="1"/>
    <xf numFmtId="43" fontId="14" fillId="8" borderId="0" xfId="0" applyNumberFormat="1" applyFont="1" applyFill="1"/>
    <xf numFmtId="0" fontId="18" fillId="8" borderId="0" xfId="0" applyFont="1" applyFill="1"/>
    <xf numFmtId="1" fontId="14" fillId="8" borderId="0" xfId="0" applyNumberFormat="1" applyFont="1" applyFill="1"/>
    <xf numFmtId="0" fontId="18" fillId="2" borderId="0" xfId="0" applyFont="1" applyFill="1"/>
    <xf numFmtId="1" fontId="14" fillId="12" borderId="0" xfId="0" applyNumberFormat="1" applyFont="1" applyFill="1"/>
    <xf numFmtId="9" fontId="18" fillId="2" borderId="0" xfId="0" applyNumberFormat="1" applyFont="1" applyFill="1"/>
    <xf numFmtId="166" fontId="0" fillId="2" borderId="18" xfId="0" applyNumberFormat="1" applyFill="1" applyBorder="1"/>
    <xf numFmtId="166" fontId="0" fillId="2" borderId="19" xfId="0" applyNumberFormat="1" applyFill="1" applyBorder="1"/>
    <xf numFmtId="0" fontId="0" fillId="2" borderId="18" xfId="0" applyFill="1" applyBorder="1"/>
    <xf numFmtId="0" fontId="0" fillId="2" borderId="19" xfId="0" applyFill="1" applyBorder="1"/>
    <xf numFmtId="0" fontId="0" fillId="14" borderId="18" xfId="0" applyFill="1" applyBorder="1"/>
    <xf numFmtId="0" fontId="0" fillId="14" borderId="19" xfId="0" applyFill="1" applyBorder="1"/>
    <xf numFmtId="0" fontId="2" fillId="5" borderId="17" xfId="0" applyFont="1" applyFill="1" applyBorder="1"/>
    <xf numFmtId="166" fontId="2" fillId="5" borderId="17" xfId="0" applyNumberFormat="1" applyFont="1" applyFill="1" applyBorder="1"/>
    <xf numFmtId="0" fontId="2" fillId="3" borderId="12" xfId="0" applyFont="1" applyFill="1" applyBorder="1"/>
    <xf numFmtId="14" fontId="2" fillId="3" borderId="17" xfId="0" applyNumberFormat="1" applyFont="1" applyFill="1" applyBorder="1"/>
    <xf numFmtId="9" fontId="0" fillId="8" borderId="0" xfId="0" applyNumberFormat="1" applyFill="1"/>
    <xf numFmtId="0" fontId="0" fillId="2" borderId="4" xfId="0" applyFill="1" applyBorder="1"/>
    <xf numFmtId="165" fontId="0" fillId="8" borderId="0" xfId="1" applyNumberFormat="1" applyFont="1" applyFill="1"/>
    <xf numFmtId="0" fontId="0" fillId="2" borderId="15" xfId="0" applyFill="1" applyBorder="1"/>
    <xf numFmtId="165" fontId="0" fillId="2" borderId="0" xfId="1" applyNumberFormat="1" applyFont="1" applyFill="1"/>
    <xf numFmtId="0" fontId="0" fillId="8" borderId="4" xfId="0" applyFill="1" applyBorder="1"/>
    <xf numFmtId="165" fontId="18" fillId="8" borderId="0" xfId="1" applyNumberFormat="1" applyFont="1" applyFill="1"/>
    <xf numFmtId="9" fontId="18" fillId="8" borderId="0" xfId="0" applyNumberFormat="1" applyFont="1" applyFill="1"/>
    <xf numFmtId="165" fontId="18" fillId="12" borderId="0" xfId="0" applyNumberFormat="1" applyFont="1" applyFill="1"/>
    <xf numFmtId="9" fontId="18" fillId="12" borderId="0" xfId="0" applyNumberFormat="1" applyFont="1" applyFill="1"/>
    <xf numFmtId="0" fontId="12" fillId="2" borderId="0" xfId="0" applyFont="1" applyFill="1"/>
    <xf numFmtId="0" fontId="0" fillId="2" borderId="14" xfId="0" applyFill="1" applyBorder="1"/>
    <xf numFmtId="9" fontId="0" fillId="2" borderId="0" xfId="1" applyFont="1" applyFill="1"/>
    <xf numFmtId="0" fontId="21" fillId="2" borderId="0" xfId="0" applyFont="1" applyFill="1"/>
    <xf numFmtId="0" fontId="19" fillId="2" borderId="0" xfId="0" applyFont="1" applyFill="1"/>
    <xf numFmtId="0" fontId="19" fillId="2" borderId="0" xfId="0" applyFont="1" applyFill="1" applyAlignment="1">
      <alignment horizontal="center"/>
    </xf>
    <xf numFmtId="0" fontId="23" fillId="3" borderId="5" xfId="0" applyFont="1" applyFill="1" applyBorder="1" applyAlignment="1">
      <alignment horizontal="center"/>
    </xf>
    <xf numFmtId="14" fontId="23" fillId="4" borderId="6" xfId="0" applyNumberFormat="1" applyFont="1" applyFill="1" applyBorder="1" applyAlignment="1">
      <alignment horizontal="center"/>
    </xf>
    <xf numFmtId="2" fontId="21" fillId="2" borderId="0" xfId="0" applyNumberFormat="1" applyFont="1" applyFill="1"/>
    <xf numFmtId="2" fontId="23" fillId="5" borderId="0" xfId="0" applyNumberFormat="1" applyFont="1" applyFill="1"/>
    <xf numFmtId="2" fontId="19" fillId="2" borderId="0" xfId="0" applyNumberFormat="1" applyFont="1" applyFill="1"/>
    <xf numFmtId="2" fontId="21" fillId="2" borderId="1" xfId="0" applyNumberFormat="1" applyFont="1" applyFill="1" applyBorder="1"/>
    <xf numFmtId="2" fontId="23" fillId="2" borderId="0" xfId="0" applyNumberFormat="1" applyFont="1" applyFill="1"/>
    <xf numFmtId="2" fontId="19" fillId="2" borderId="20" xfId="0" applyNumberFormat="1" applyFont="1" applyFill="1" applyBorder="1"/>
    <xf numFmtId="2" fontId="23" fillId="5" borderId="16" xfId="0" applyNumberFormat="1" applyFont="1" applyFill="1" applyBorder="1"/>
    <xf numFmtId="165" fontId="0" fillId="2" borderId="0" xfId="0" applyNumberFormat="1" applyFill="1"/>
    <xf numFmtId="2" fontId="2" fillId="5" borderId="16" xfId="0" applyNumberFormat="1" applyFont="1" applyFill="1" applyBorder="1"/>
    <xf numFmtId="2" fontId="2" fillId="5" borderId="20" xfId="0" applyNumberFormat="1" applyFont="1" applyFill="1" applyBorder="1"/>
    <xf numFmtId="166" fontId="2" fillId="5" borderId="16" xfId="0" applyNumberFormat="1" applyFont="1" applyFill="1" applyBorder="1"/>
    <xf numFmtId="0" fontId="2" fillId="5" borderId="16" xfId="0" applyFont="1" applyFill="1" applyBorder="1"/>
    <xf numFmtId="0" fontId="4" fillId="2" borderId="12" xfId="0" applyFont="1" applyFill="1" applyBorder="1"/>
    <xf numFmtId="164" fontId="4" fillId="2" borderId="2" xfId="0" applyNumberFormat="1" applyFont="1" applyFill="1" applyBorder="1"/>
    <xf numFmtId="164" fontId="4" fillId="2" borderId="13" xfId="0" applyNumberFormat="1" applyFont="1" applyFill="1" applyBorder="1"/>
    <xf numFmtId="168" fontId="20" fillId="8" borderId="0" xfId="0" applyNumberFormat="1" applyFont="1" applyFill="1"/>
    <xf numFmtId="169" fontId="20" fillId="8" borderId="0" xfId="0" applyNumberFormat="1" applyFont="1" applyFill="1"/>
    <xf numFmtId="1" fontId="20" fillId="8" borderId="0" xfId="0" applyNumberFormat="1" applyFont="1" applyFill="1"/>
    <xf numFmtId="0" fontId="2" fillId="5" borderId="0" xfId="0" applyFont="1" applyFill="1"/>
    <xf numFmtId="2" fontId="0" fillId="2" borderId="9" xfId="0" applyNumberFormat="1" applyFill="1" applyBorder="1"/>
    <xf numFmtId="0" fontId="2" fillId="3" borderId="0" xfId="0" applyFont="1" applyFill="1" applyAlignment="1">
      <alignment horizontal="center"/>
    </xf>
    <xf numFmtId="2" fontId="0" fillId="2" borderId="4" xfId="0" applyNumberFormat="1" applyFill="1" applyBorder="1"/>
    <xf numFmtId="2" fontId="0" fillId="2" borderId="15" xfId="0" applyNumberFormat="1" applyFill="1" applyBorder="1"/>
    <xf numFmtId="0" fontId="2" fillId="2" borderId="0" xfId="0" applyFont="1" applyFill="1" applyAlignment="1">
      <alignment horizontal="center"/>
    </xf>
    <xf numFmtId="0" fontId="2" fillId="6" borderId="4" xfId="2" quotePrefix="1" applyFont="1" applyFill="1" applyBorder="1" applyAlignment="1">
      <alignment horizontal="center"/>
    </xf>
    <xf numFmtId="0" fontId="5" fillId="2" borderId="0" xfId="0" applyFont="1" applyFill="1"/>
    <xf numFmtId="0" fontId="2" fillId="4" borderId="0" xfId="0" applyFont="1" applyFill="1" applyAlignment="1">
      <alignment horizontal="center"/>
    </xf>
    <xf numFmtId="9" fontId="2" fillId="5" borderId="0" xfId="1" applyFont="1" applyFill="1"/>
    <xf numFmtId="9" fontId="2" fillId="2" borderId="0" xfId="1" applyFont="1" applyFill="1"/>
    <xf numFmtId="0" fontId="6" fillId="2" borderId="0" xfId="0" applyFont="1" applyFill="1"/>
    <xf numFmtId="0" fontId="2" fillId="3" borderId="0" xfId="0" applyFont="1" applyFill="1"/>
    <xf numFmtId="0" fontId="2" fillId="4" borderId="12" xfId="0" applyFont="1" applyFill="1" applyBorder="1" applyAlignment="1">
      <alignment horizontal="center"/>
    </xf>
    <xf numFmtId="0" fontId="2" fillId="4" borderId="2" xfId="0" applyFont="1" applyFill="1" applyBorder="1" applyAlignment="1">
      <alignment horizontal="center"/>
    </xf>
    <xf numFmtId="0" fontId="2" fillId="4" borderId="13" xfId="0" applyFont="1" applyFill="1" applyBorder="1" applyAlignment="1">
      <alignment horizontal="center"/>
    </xf>
    <xf numFmtId="0" fontId="2" fillId="2" borderId="0" xfId="0" applyFont="1" applyFill="1"/>
    <xf numFmtId="1" fontId="0" fillId="2" borderId="0" xfId="0" applyNumberFormat="1" applyFill="1"/>
    <xf numFmtId="164" fontId="9" fillId="2" borderId="0" xfId="0" applyNumberFormat="1" applyFont="1" applyFill="1" applyAlignment="1">
      <alignment horizontal="center"/>
    </xf>
    <xf numFmtId="166" fontId="4" fillId="2" borderId="0" xfId="0" applyNumberFormat="1" applyFont="1" applyFill="1"/>
    <xf numFmtId="166" fontId="0" fillId="2" borderId="0" xfId="0" applyNumberFormat="1" applyFill="1"/>
    <xf numFmtId="166" fontId="2" fillId="2" borderId="0" xfId="0" applyNumberFormat="1" applyFont="1" applyFill="1"/>
    <xf numFmtId="9" fontId="4" fillId="2" borderId="0" xfId="1" applyFont="1" applyFill="1" applyBorder="1"/>
    <xf numFmtId="165" fontId="4" fillId="2" borderId="0" xfId="1" applyNumberFormat="1" applyFont="1" applyFill="1" applyBorder="1"/>
    <xf numFmtId="2" fontId="13" fillId="2" borderId="3" xfId="0" applyNumberFormat="1" applyFont="1" applyFill="1" applyBorder="1"/>
    <xf numFmtId="166" fontId="3" fillId="2" borderId="0" xfId="0" applyNumberFormat="1" applyFont="1" applyFill="1"/>
    <xf numFmtId="2" fontId="3" fillId="2" borderId="0" xfId="0" applyNumberFormat="1" applyFont="1" applyFill="1"/>
    <xf numFmtId="0" fontId="3" fillId="2" borderId="0" xfId="0" applyFont="1" applyFill="1"/>
    <xf numFmtId="2" fontId="3" fillId="2" borderId="20" xfId="0" applyNumberFormat="1" applyFont="1" applyFill="1" applyBorder="1"/>
    <xf numFmtId="2" fontId="26" fillId="2" borderId="0" xfId="0" applyNumberFormat="1" applyFont="1" applyFill="1"/>
    <xf numFmtId="2" fontId="27" fillId="2" borderId="0" xfId="0" applyNumberFormat="1" applyFont="1" applyFill="1"/>
    <xf numFmtId="0" fontId="26" fillId="2" borderId="0" xfId="0" applyFont="1" applyFill="1"/>
    <xf numFmtId="166" fontId="3" fillId="2" borderId="21" xfId="0" applyNumberFormat="1" applyFont="1" applyFill="1" applyBorder="1"/>
    <xf numFmtId="166" fontId="3" fillId="2" borderId="19" xfId="0" applyNumberFormat="1" applyFont="1" applyFill="1" applyBorder="1"/>
    <xf numFmtId="166" fontId="3" fillId="8" borderId="0" xfId="0" applyNumberFormat="1" applyFont="1" applyFill="1"/>
    <xf numFmtId="0" fontId="3" fillId="2" borderId="19" xfId="0" applyFont="1" applyFill="1" applyBorder="1"/>
    <xf numFmtId="0" fontId="13" fillId="2" borderId="16" xfId="0" applyFont="1" applyFill="1" applyBorder="1"/>
    <xf numFmtId="14" fontId="2" fillId="4" borderId="17" xfId="0" applyNumberFormat="1" applyFont="1" applyFill="1" applyBorder="1"/>
    <xf numFmtId="2" fontId="2" fillId="5" borderId="17" xfId="0" applyNumberFormat="1" applyFont="1" applyFill="1" applyBorder="1"/>
    <xf numFmtId="165" fontId="4" fillId="8" borderId="0" xfId="0" applyNumberFormat="1" applyFont="1" applyFill="1"/>
    <xf numFmtId="17" fontId="2" fillId="2" borderId="0" xfId="0" applyNumberFormat="1" applyFont="1" applyFill="1"/>
    <xf numFmtId="3" fontId="28" fillId="16" borderId="0" xfId="0" applyNumberFormat="1" applyFont="1" applyFill="1" applyAlignment="1">
      <alignment horizontal="right" vertical="center" wrapText="1"/>
    </xf>
    <xf numFmtId="2" fontId="2" fillId="5" borderId="3" xfId="0" applyNumberFormat="1" applyFont="1" applyFill="1" applyBorder="1"/>
    <xf numFmtId="4" fontId="4" fillId="2" borderId="11" xfId="0" applyNumberFormat="1" applyFont="1" applyFill="1" applyBorder="1"/>
    <xf numFmtId="0" fontId="0" fillId="2" borderId="19" xfId="0" applyFill="1" applyBorder="1" applyAlignment="1">
      <alignment horizontal="center"/>
    </xf>
    <xf numFmtId="0" fontId="0" fillId="2" borderId="21" xfId="0" applyFill="1" applyBorder="1" applyAlignment="1">
      <alignment horizontal="center"/>
    </xf>
    <xf numFmtId="9" fontId="0" fillId="2" borderId="18" xfId="1" applyFont="1" applyFill="1" applyBorder="1" applyAlignment="1">
      <alignment horizontal="center"/>
    </xf>
    <xf numFmtId="9" fontId="0" fillId="2" borderId="21" xfId="1" applyFont="1" applyFill="1" applyBorder="1" applyAlignment="1">
      <alignment horizontal="center"/>
    </xf>
    <xf numFmtId="9" fontId="0" fillId="2" borderId="19" xfId="1" applyFont="1" applyFill="1" applyBorder="1" applyAlignment="1">
      <alignment horizontal="center"/>
    </xf>
    <xf numFmtId="0" fontId="4" fillId="2" borderId="18" xfId="0" applyFont="1" applyFill="1" applyBorder="1" applyAlignment="1">
      <alignment horizontal="center"/>
    </xf>
    <xf numFmtId="0" fontId="4" fillId="2" borderId="19" xfId="0" applyFont="1" applyFill="1" applyBorder="1" applyAlignment="1">
      <alignment horizontal="center"/>
    </xf>
    <xf numFmtId="0" fontId="32" fillId="2" borderId="19" xfId="0" applyFont="1" applyFill="1" applyBorder="1" applyAlignment="1">
      <alignment horizontal="center"/>
    </xf>
    <xf numFmtId="0" fontId="32" fillId="2" borderId="21" xfId="0" applyFont="1" applyFill="1" applyBorder="1" applyAlignment="1">
      <alignment horizontal="center"/>
    </xf>
    <xf numFmtId="3" fontId="28" fillId="16" borderId="9" xfId="0" applyNumberFormat="1" applyFont="1" applyFill="1" applyBorder="1" applyAlignment="1">
      <alignment horizontal="right" vertical="center" wrapText="1"/>
    </xf>
    <xf numFmtId="0" fontId="0" fillId="2" borderId="9" xfId="0" applyFill="1" applyBorder="1"/>
    <xf numFmtId="9" fontId="0" fillId="2" borderId="0" xfId="1" applyFont="1" applyFill="1" applyBorder="1"/>
    <xf numFmtId="9" fontId="32" fillId="2" borderId="0" xfId="1" applyFont="1" applyFill="1" applyBorder="1"/>
    <xf numFmtId="9" fontId="32" fillId="2" borderId="9" xfId="1" applyFont="1" applyFill="1" applyBorder="1"/>
    <xf numFmtId="9" fontId="32" fillId="2" borderId="4" xfId="1" applyFont="1" applyFill="1" applyBorder="1"/>
    <xf numFmtId="9" fontId="32" fillId="2" borderId="15" xfId="1" applyFont="1" applyFill="1" applyBorder="1"/>
    <xf numFmtId="0" fontId="2" fillId="3" borderId="18" xfId="0" applyFont="1" applyFill="1" applyBorder="1" applyAlignment="1">
      <alignment horizontal="center"/>
    </xf>
    <xf numFmtId="0" fontId="2" fillId="4" borderId="11" xfId="0" applyFont="1" applyFill="1" applyBorder="1" applyAlignment="1">
      <alignment horizontal="center"/>
    </xf>
    <xf numFmtId="0" fontId="2" fillId="4" borderId="1" xfId="0" applyFont="1" applyFill="1" applyBorder="1" applyAlignment="1">
      <alignment horizontal="center"/>
    </xf>
    <xf numFmtId="0" fontId="2" fillId="5" borderId="17" xfId="0" applyFont="1" applyFill="1" applyBorder="1" applyAlignment="1">
      <alignment horizontal="center"/>
    </xf>
    <xf numFmtId="0" fontId="2" fillId="3" borderId="17" xfId="0" applyFont="1" applyFill="1" applyBorder="1" applyAlignment="1">
      <alignment horizontal="center"/>
    </xf>
    <xf numFmtId="0" fontId="0" fillId="2" borderId="8" xfId="0" applyFill="1" applyBorder="1" applyAlignment="1">
      <alignment horizontal="center"/>
    </xf>
    <xf numFmtId="0" fontId="0" fillId="2" borderId="14" xfId="0" applyFill="1" applyBorder="1" applyAlignment="1">
      <alignment horizontal="center"/>
    </xf>
    <xf numFmtId="17" fontId="2" fillId="2" borderId="0" xfId="0" applyNumberFormat="1" applyFont="1" applyFill="1" applyAlignment="1">
      <alignment horizontal="center"/>
    </xf>
    <xf numFmtId="9" fontId="0" fillId="2" borderId="0" xfId="1" applyFont="1" applyFill="1" applyBorder="1" applyAlignment="1">
      <alignment horizontal="center"/>
    </xf>
    <xf numFmtId="0" fontId="2" fillId="3" borderId="10" xfId="0" applyFont="1" applyFill="1" applyBorder="1" applyAlignment="1">
      <alignment horizontal="center"/>
    </xf>
    <xf numFmtId="10" fontId="0" fillId="2" borderId="9" xfId="0" applyNumberFormat="1" applyFill="1" applyBorder="1" applyAlignment="1">
      <alignment horizontal="center"/>
    </xf>
    <xf numFmtId="9" fontId="0" fillId="2" borderId="9" xfId="0" applyNumberFormat="1" applyFill="1" applyBorder="1" applyAlignment="1">
      <alignment horizontal="center"/>
    </xf>
    <xf numFmtId="0" fontId="0" fillId="2" borderId="4" xfId="0" applyFill="1" applyBorder="1" applyAlignment="1">
      <alignment horizontal="center"/>
    </xf>
    <xf numFmtId="165" fontId="0" fillId="2" borderId="4" xfId="0" applyNumberFormat="1" applyFill="1" applyBorder="1" applyAlignment="1">
      <alignment horizontal="center"/>
    </xf>
    <xf numFmtId="9" fontId="0" fillId="2" borderId="15" xfId="0" applyNumberFormat="1" applyFill="1" applyBorder="1" applyAlignment="1">
      <alignment horizontal="center"/>
    </xf>
    <xf numFmtId="165" fontId="0" fillId="2" borderId="0" xfId="1" applyNumberFormat="1" applyFont="1" applyFill="1" applyBorder="1" applyAlignment="1">
      <alignment horizontal="center"/>
    </xf>
    <xf numFmtId="0" fontId="2" fillId="3" borderId="10" xfId="0" applyFont="1" applyFill="1" applyBorder="1"/>
    <xf numFmtId="3" fontId="2" fillId="4" borderId="1" xfId="0" applyNumberFormat="1" applyFont="1" applyFill="1" applyBorder="1" applyAlignment="1">
      <alignment horizontal="center"/>
    </xf>
    <xf numFmtId="3" fontId="2" fillId="2" borderId="1" xfId="0" applyNumberFormat="1" applyFont="1" applyFill="1" applyBorder="1" applyAlignment="1">
      <alignment horizontal="center"/>
    </xf>
    <xf numFmtId="3" fontId="2" fillId="4" borderId="11" xfId="0" applyNumberFormat="1" applyFont="1" applyFill="1" applyBorder="1" applyAlignment="1">
      <alignment horizontal="center"/>
    </xf>
    <xf numFmtId="0" fontId="2" fillId="5" borderId="8" xfId="0" applyFont="1" applyFill="1" applyBorder="1"/>
    <xf numFmtId="9" fontId="0" fillId="2" borderId="1" xfId="0" applyNumberFormat="1" applyFill="1" applyBorder="1"/>
    <xf numFmtId="0" fontId="0" fillId="2" borderId="1" xfId="0" applyFill="1" applyBorder="1"/>
    <xf numFmtId="0" fontId="0" fillId="2" borderId="11" xfId="0" applyFill="1" applyBorder="1"/>
    <xf numFmtId="2" fontId="0" fillId="2" borderId="0" xfId="1" applyNumberFormat="1" applyFont="1" applyFill="1" applyBorder="1"/>
    <xf numFmtId="2" fontId="0" fillId="2" borderId="9" xfId="1" applyNumberFormat="1" applyFont="1" applyFill="1" applyBorder="1"/>
    <xf numFmtId="9" fontId="0" fillId="2" borderId="1" xfId="1" applyFont="1" applyFill="1" applyBorder="1"/>
    <xf numFmtId="165" fontId="0" fillId="2" borderId="9" xfId="1" applyNumberFormat="1" applyFont="1" applyFill="1" applyBorder="1"/>
    <xf numFmtId="165" fontId="0" fillId="2" borderId="0" xfId="1" applyNumberFormat="1" applyFont="1" applyFill="1" applyBorder="1" applyAlignment="1"/>
    <xf numFmtId="165" fontId="0" fillId="2" borderId="9" xfId="1" applyNumberFormat="1" applyFont="1" applyFill="1" applyBorder="1" applyAlignment="1"/>
    <xf numFmtId="165" fontId="0" fillId="2" borderId="4" xfId="1" applyNumberFormat="1" applyFont="1" applyFill="1" applyBorder="1"/>
    <xf numFmtId="165" fontId="0" fillId="2" borderId="15" xfId="1" applyNumberFormat="1" applyFont="1" applyFill="1" applyBorder="1"/>
    <xf numFmtId="1" fontId="0" fillId="2" borderId="9" xfId="0" applyNumberFormat="1" applyFill="1" applyBorder="1"/>
    <xf numFmtId="2" fontId="0" fillId="17" borderId="0" xfId="0" applyNumberFormat="1" applyFill="1"/>
    <xf numFmtId="2" fontId="0" fillId="17" borderId="9" xfId="0" applyNumberFormat="1" applyFill="1" applyBorder="1"/>
    <xf numFmtId="166" fontId="0" fillId="2" borderId="4" xfId="0" applyNumberFormat="1" applyFill="1" applyBorder="1"/>
    <xf numFmtId="0" fontId="0" fillId="17" borderId="4" xfId="0" applyFill="1" applyBorder="1"/>
    <xf numFmtId="0" fontId="0" fillId="17" borderId="15" xfId="0" applyFill="1" applyBorder="1"/>
    <xf numFmtId="9" fontId="0" fillId="2" borderId="9" xfId="0" applyNumberFormat="1" applyFill="1" applyBorder="1"/>
    <xf numFmtId="9" fontId="0" fillId="2" borderId="19" xfId="0" applyNumberFormat="1" applyFill="1" applyBorder="1" applyAlignment="1">
      <alignment horizontal="center"/>
    </xf>
    <xf numFmtId="9" fontId="2" fillId="5" borderId="17" xfId="0" applyNumberFormat="1" applyFont="1" applyFill="1" applyBorder="1" applyAlignment="1">
      <alignment horizontal="center"/>
    </xf>
    <xf numFmtId="9" fontId="2" fillId="5" borderId="13" xfId="0" applyNumberFormat="1" applyFont="1" applyFill="1" applyBorder="1"/>
    <xf numFmtId="0" fontId="2" fillId="5" borderId="13" xfId="0" applyFont="1" applyFill="1" applyBorder="1"/>
    <xf numFmtId="0" fontId="2" fillId="4" borderId="17" xfId="0" applyFont="1" applyFill="1" applyBorder="1" applyAlignment="1">
      <alignment horizontal="center"/>
    </xf>
    <xf numFmtId="1" fontId="0" fillId="2" borderId="19" xfId="0" applyNumberFormat="1" applyFill="1" applyBorder="1" applyAlignment="1">
      <alignment horizontal="center"/>
    </xf>
    <xf numFmtId="0" fontId="0" fillId="0" borderId="19" xfId="0" applyBorder="1"/>
    <xf numFmtId="9" fontId="0" fillId="2" borderId="19" xfId="0" applyNumberFormat="1" applyFill="1" applyBorder="1"/>
    <xf numFmtId="1" fontId="0" fillId="2" borderId="19" xfId="0" applyNumberFormat="1" applyFill="1" applyBorder="1"/>
    <xf numFmtId="0" fontId="2" fillId="3" borderId="12" xfId="0" applyFont="1" applyFill="1" applyBorder="1" applyAlignment="1">
      <alignment horizontal="center"/>
    </xf>
    <xf numFmtId="9" fontId="2" fillId="5" borderId="17" xfId="0" applyNumberFormat="1" applyFont="1" applyFill="1" applyBorder="1"/>
    <xf numFmtId="1" fontId="0" fillId="2" borderId="11" xfId="0" applyNumberFormat="1" applyFill="1" applyBorder="1"/>
    <xf numFmtId="9" fontId="0" fillId="2" borderId="18" xfId="0" applyNumberFormat="1" applyFill="1" applyBorder="1"/>
    <xf numFmtId="0" fontId="2" fillId="2" borderId="8" xfId="0" applyFont="1" applyFill="1" applyBorder="1"/>
    <xf numFmtId="0" fontId="25" fillId="2" borderId="0" xfId="2" applyFill="1" applyBorder="1" applyAlignment="1"/>
    <xf numFmtId="0" fontId="25" fillId="2" borderId="8" xfId="2" applyFill="1" applyBorder="1" applyAlignment="1"/>
    <xf numFmtId="0" fontId="25" fillId="2" borderId="9" xfId="2" applyFill="1" applyBorder="1" applyAlignment="1"/>
    <xf numFmtId="0" fontId="25" fillId="2" borderId="14" xfId="2" applyFill="1" applyBorder="1" applyAlignment="1"/>
    <xf numFmtId="164" fontId="34" fillId="2" borderId="0" xfId="0" applyNumberFormat="1" applyFont="1" applyFill="1"/>
    <xf numFmtId="2" fontId="0" fillId="2" borderId="0" xfId="0" applyNumberFormat="1" applyFill="1" applyAlignment="1">
      <alignment horizontal="center"/>
    </xf>
    <xf numFmtId="165" fontId="0" fillId="2" borderId="0" xfId="0" applyNumberFormat="1" applyFill="1" applyAlignment="1">
      <alignment horizontal="center"/>
    </xf>
    <xf numFmtId="9" fontId="0" fillId="2" borderId="0" xfId="0" applyNumberFormat="1" applyFill="1" applyAlignment="1">
      <alignment horizontal="center"/>
    </xf>
    <xf numFmtId="10" fontId="0" fillId="2" borderId="0" xfId="0" applyNumberFormat="1" applyFill="1" applyAlignment="1">
      <alignment horizontal="center"/>
    </xf>
    <xf numFmtId="0" fontId="2" fillId="4" borderId="0" xfId="0" applyFont="1" applyFill="1"/>
    <xf numFmtId="0" fontId="10" fillId="2" borderId="0" xfId="0" applyFont="1" applyFill="1"/>
    <xf numFmtId="0" fontId="2" fillId="4" borderId="1" xfId="0" applyFont="1" applyFill="1" applyBorder="1"/>
    <xf numFmtId="0" fontId="2" fillId="4" borderId="11" xfId="0" applyFont="1" applyFill="1" applyBorder="1"/>
    <xf numFmtId="0" fontId="28" fillId="16" borderId="0" xfId="0" applyFont="1" applyFill="1" applyAlignment="1">
      <alignment horizontal="right" vertical="center" wrapText="1"/>
    </xf>
    <xf numFmtId="0" fontId="28" fillId="16" borderId="9" xfId="0" applyFont="1" applyFill="1" applyBorder="1" applyAlignment="1">
      <alignment horizontal="right" vertical="center" wrapText="1"/>
    </xf>
    <xf numFmtId="3" fontId="35" fillId="16" borderId="0" xfId="0" applyNumberFormat="1" applyFont="1" applyFill="1" applyAlignment="1">
      <alignment horizontal="right" vertical="center" wrapText="1"/>
    </xf>
    <xf numFmtId="3" fontId="35" fillId="16" borderId="9" xfId="0" applyNumberFormat="1" applyFont="1" applyFill="1" applyBorder="1" applyAlignment="1">
      <alignment horizontal="right" vertical="center" wrapText="1"/>
    </xf>
    <xf numFmtId="0" fontId="4" fillId="2" borderId="14" xfId="0" applyFont="1" applyFill="1" applyBorder="1"/>
    <xf numFmtId="4" fontId="28" fillId="16" borderId="4" xfId="0" applyNumberFormat="1" applyFont="1" applyFill="1" applyBorder="1" applyAlignment="1">
      <alignment horizontal="right" vertical="center" wrapText="1"/>
    </xf>
    <xf numFmtId="4" fontId="28" fillId="16" borderId="15" xfId="0" applyNumberFormat="1" applyFont="1" applyFill="1" applyBorder="1" applyAlignment="1">
      <alignment horizontal="right" vertical="center" wrapText="1"/>
    </xf>
    <xf numFmtId="4" fontId="14" fillId="2" borderId="0" xfId="0" applyNumberFormat="1" applyFont="1" applyFill="1"/>
    <xf numFmtId="2" fontId="4" fillId="2" borderId="0" xfId="0" applyNumberFormat="1" applyFont="1" applyFill="1"/>
    <xf numFmtId="2" fontId="2" fillId="5" borderId="0" xfId="0" applyNumberFormat="1" applyFont="1" applyFill="1"/>
    <xf numFmtId="165" fontId="2" fillId="5" borderId="0" xfId="1" applyNumberFormat="1" applyFont="1" applyFill="1"/>
    <xf numFmtId="0" fontId="36" fillId="2" borderId="1" xfId="2" quotePrefix="1" applyFont="1" applyFill="1" applyBorder="1" applyAlignment="1">
      <alignment horizontal="center"/>
    </xf>
    <xf numFmtId="0" fontId="36" fillId="2" borderId="0" xfId="2" quotePrefix="1" applyFont="1" applyFill="1" applyBorder="1" applyAlignment="1">
      <alignment horizontal="center"/>
    </xf>
    <xf numFmtId="0" fontId="36" fillId="2" borderId="0" xfId="2" quotePrefix="1" applyFont="1" applyFill="1" applyAlignment="1">
      <alignment horizontal="center"/>
    </xf>
    <xf numFmtId="0" fontId="36" fillId="2" borderId="0" xfId="2" applyFont="1" applyFill="1" applyAlignment="1">
      <alignment horizontal="center"/>
    </xf>
    <xf numFmtId="0" fontId="0" fillId="2" borderId="22" xfId="0" applyFill="1" applyBorder="1"/>
    <xf numFmtId="9" fontId="0" fillId="2" borderId="23" xfId="0" applyNumberFormat="1" applyFill="1" applyBorder="1"/>
    <xf numFmtId="0" fontId="0" fillId="2" borderId="24" xfId="0" applyFill="1" applyBorder="1"/>
    <xf numFmtId="9" fontId="0" fillId="2" borderId="25" xfId="0" applyNumberFormat="1" applyFill="1" applyBorder="1"/>
    <xf numFmtId="0" fontId="0" fillId="2" borderId="25" xfId="0" applyFill="1" applyBorder="1"/>
    <xf numFmtId="0" fontId="4" fillId="2" borderId="24" xfId="0" applyFont="1" applyFill="1" applyBorder="1"/>
    <xf numFmtId="165" fontId="4" fillId="2" borderId="25" xfId="0" applyNumberFormat="1" applyFont="1" applyFill="1" applyBorder="1"/>
    <xf numFmtId="0" fontId="4" fillId="2" borderId="26" xfId="0" applyFont="1" applyFill="1" applyBorder="1"/>
    <xf numFmtId="165" fontId="4" fillId="2" borderId="27" xfId="0" applyNumberFormat="1" applyFont="1" applyFill="1" applyBorder="1"/>
    <xf numFmtId="2" fontId="0" fillId="2" borderId="23" xfId="0" applyNumberFormat="1" applyFill="1" applyBorder="1"/>
    <xf numFmtId="0" fontId="2" fillId="5" borderId="24" xfId="0" applyFont="1" applyFill="1" applyBorder="1"/>
    <xf numFmtId="2" fontId="2" fillId="5" borderId="25" xfId="0" applyNumberFormat="1" applyFont="1" applyFill="1" applyBorder="1"/>
    <xf numFmtId="4" fontId="0" fillId="2" borderId="25" xfId="0" applyNumberFormat="1" applyFill="1" applyBorder="1"/>
    <xf numFmtId="0" fontId="2" fillId="5" borderId="26" xfId="0" applyFont="1" applyFill="1" applyBorder="1"/>
    <xf numFmtId="0" fontId="37" fillId="2" borderId="0" xfId="2" quotePrefix="1" applyFont="1" applyFill="1" applyAlignment="1">
      <alignment horizontal="center"/>
    </xf>
    <xf numFmtId="10" fontId="2" fillId="5" borderId="25" xfId="1" applyNumberFormat="1" applyFont="1" applyFill="1" applyBorder="1"/>
    <xf numFmtId="0" fontId="4" fillId="2" borderId="27" xfId="0" applyFont="1" applyFill="1" applyBorder="1" applyAlignment="1">
      <alignment horizontal="right"/>
    </xf>
    <xf numFmtId="165" fontId="2" fillId="6" borderId="0" xfId="0" applyNumberFormat="1" applyFont="1" applyFill="1"/>
    <xf numFmtId="0" fontId="38" fillId="2" borderId="0" xfId="0" applyFont="1" applyFill="1"/>
    <xf numFmtId="170" fontId="2" fillId="5" borderId="25" xfId="0" applyNumberFormat="1" applyFont="1" applyFill="1" applyBorder="1"/>
    <xf numFmtId="170" fontId="4" fillId="2" borderId="25" xfId="0" applyNumberFormat="1" applyFont="1" applyFill="1" applyBorder="1"/>
    <xf numFmtId="0" fontId="0" fillId="2" borderId="10" xfId="0" applyFill="1" applyBorder="1"/>
    <xf numFmtId="0" fontId="39" fillId="2" borderId="0" xfId="0" applyFont="1" applyFill="1" applyAlignment="1">
      <alignment horizontal="left"/>
    </xf>
    <xf numFmtId="0" fontId="5" fillId="2" borderId="0" xfId="0" applyFont="1" applyFill="1" applyAlignment="1">
      <alignment horizontal="center"/>
    </xf>
    <xf numFmtId="0" fontId="25" fillId="2" borderId="8" xfId="2" applyFill="1" applyBorder="1" applyAlignment="1"/>
    <xf numFmtId="0" fontId="25" fillId="2" borderId="0" xfId="2" applyFill="1" applyBorder="1" applyAlignment="1"/>
    <xf numFmtId="0" fontId="0" fillId="2" borderId="0" xfId="0" applyFill="1"/>
    <xf numFmtId="0" fontId="2" fillId="6" borderId="10" xfId="0" applyFont="1" applyFill="1" applyBorder="1" applyAlignment="1">
      <alignment horizontal="center"/>
    </xf>
    <xf numFmtId="0" fontId="2" fillId="6" borderId="1" xfId="0" applyFont="1" applyFill="1" applyBorder="1" applyAlignment="1">
      <alignment horizontal="center"/>
    </xf>
    <xf numFmtId="0" fontId="2" fillId="6" borderId="11" xfId="0" applyFont="1" applyFill="1" applyBorder="1" applyAlignment="1">
      <alignment horizontal="center"/>
    </xf>
    <xf numFmtId="17" fontId="2" fillId="6" borderId="0" xfId="0" applyNumberFormat="1" applyFont="1" applyFill="1" applyAlignment="1">
      <alignment horizontal="center"/>
    </xf>
    <xf numFmtId="0" fontId="0" fillId="2" borderId="4" xfId="0" applyFill="1" applyBorder="1" applyAlignment="1">
      <alignment horizontal="center"/>
    </xf>
    <xf numFmtId="0" fontId="2" fillId="4" borderId="1" xfId="0" applyFont="1" applyFill="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1" fontId="0" fillId="2" borderId="8" xfId="0" applyNumberFormat="1" applyFill="1" applyBorder="1" applyAlignment="1">
      <alignment horizontal="center"/>
    </xf>
    <xf numFmtId="1" fontId="0" fillId="2" borderId="9" xfId="0" applyNumberFormat="1" applyFill="1" applyBorder="1" applyAlignment="1">
      <alignment horizontal="center"/>
    </xf>
    <xf numFmtId="0" fontId="2" fillId="4" borderId="12" xfId="0" applyFont="1" applyFill="1" applyBorder="1" applyAlignment="1">
      <alignment horizontal="center"/>
    </xf>
    <xf numFmtId="0" fontId="2" fillId="4" borderId="13" xfId="0" applyFont="1" applyFill="1" applyBorder="1" applyAlignment="1">
      <alignment horizontal="center"/>
    </xf>
    <xf numFmtId="1" fontId="0" fillId="2" borderId="14" xfId="0" applyNumberFormat="1" applyFill="1" applyBorder="1" applyAlignment="1">
      <alignment horizontal="center"/>
    </xf>
    <xf numFmtId="1" fontId="0" fillId="2" borderId="15" xfId="0" applyNumberFormat="1" applyFill="1" applyBorder="1" applyAlignment="1">
      <alignment horizontal="center"/>
    </xf>
    <xf numFmtId="3" fontId="30" fillId="2" borderId="10" xfId="0" applyNumberFormat="1" applyFont="1" applyFill="1" applyBorder="1" applyAlignment="1">
      <alignment horizontal="center"/>
    </xf>
    <xf numFmtId="3" fontId="30" fillId="2" borderId="11" xfId="0" applyNumberFormat="1" applyFont="1" applyFill="1" applyBorder="1" applyAlignment="1">
      <alignment horizontal="center"/>
    </xf>
    <xf numFmtId="3" fontId="30" fillId="2" borderId="8" xfId="0" applyNumberFormat="1" applyFont="1" applyFill="1" applyBorder="1" applyAlignment="1">
      <alignment horizontal="center"/>
    </xf>
    <xf numFmtId="3" fontId="30" fillId="2" borderId="9" xfId="0" applyNumberFormat="1" applyFont="1" applyFill="1" applyBorder="1" applyAlignment="1">
      <alignment horizontal="center"/>
    </xf>
    <xf numFmtId="3" fontId="0" fillId="2" borderId="8" xfId="0" applyNumberFormat="1" applyFill="1" applyBorder="1" applyAlignment="1">
      <alignment horizontal="center"/>
    </xf>
    <xf numFmtId="3" fontId="0" fillId="2" borderId="9" xfId="0" applyNumberFormat="1" applyFill="1" applyBorder="1" applyAlignment="1">
      <alignment horizontal="center"/>
    </xf>
    <xf numFmtId="2" fontId="31" fillId="2" borderId="14" xfId="0" applyNumberFormat="1" applyFont="1" applyFill="1" applyBorder="1" applyAlignment="1">
      <alignment horizontal="center"/>
    </xf>
    <xf numFmtId="2" fontId="31" fillId="2" borderId="15" xfId="0" applyNumberFormat="1" applyFont="1" applyFill="1" applyBorder="1" applyAlignment="1">
      <alignment horizontal="center"/>
    </xf>
    <xf numFmtId="2" fontId="29" fillId="2" borderId="10" xfId="0" applyNumberFormat="1" applyFont="1" applyFill="1" applyBorder="1" applyAlignment="1">
      <alignment horizontal="center"/>
    </xf>
    <xf numFmtId="2" fontId="29" fillId="2" borderId="11" xfId="0" applyNumberFormat="1" applyFont="1" applyFill="1" applyBorder="1" applyAlignment="1">
      <alignment horizontal="center"/>
    </xf>
    <xf numFmtId="2" fontId="30" fillId="2" borderId="8" xfId="0" applyNumberFormat="1" applyFont="1" applyFill="1" applyBorder="1" applyAlignment="1">
      <alignment horizontal="center"/>
    </xf>
    <xf numFmtId="2" fontId="30" fillId="2" borderId="9" xfId="0" applyNumberFormat="1" applyFont="1" applyFill="1" applyBorder="1" applyAlignment="1">
      <alignment horizontal="center"/>
    </xf>
    <xf numFmtId="0" fontId="2" fillId="6" borderId="12" xfId="0" applyFont="1" applyFill="1" applyBorder="1" applyAlignment="1">
      <alignment horizontal="center"/>
    </xf>
    <xf numFmtId="0" fontId="2" fillId="6" borderId="2" xfId="0" applyFont="1" applyFill="1" applyBorder="1" applyAlignment="1">
      <alignment horizontal="center"/>
    </xf>
    <xf numFmtId="0" fontId="2" fillId="6" borderId="13" xfId="0" applyFont="1" applyFill="1" applyBorder="1" applyAlignment="1">
      <alignment horizontal="center"/>
    </xf>
    <xf numFmtId="0" fontId="12" fillId="2" borderId="0" xfId="0" applyFont="1" applyFill="1" applyAlignment="1">
      <alignment horizontal="center"/>
    </xf>
    <xf numFmtId="164" fontId="9" fillId="6" borderId="4" xfId="0" applyNumberFormat="1" applyFont="1" applyFill="1" applyBorder="1" applyAlignment="1">
      <alignment horizontal="center"/>
    </xf>
    <xf numFmtId="0" fontId="2" fillId="6" borderId="0" xfId="0" applyFont="1" applyFill="1" applyAlignment="1">
      <alignment horizontal="center"/>
    </xf>
    <xf numFmtId="0" fontId="10" fillId="6" borderId="0" xfId="0" applyFont="1" applyFill="1" applyAlignment="1">
      <alignment horizontal="center"/>
    </xf>
    <xf numFmtId="0" fontId="2" fillId="13" borderId="0" xfId="0" applyFont="1" applyFill="1" applyAlignment="1">
      <alignment horizontal="center" vertical="center"/>
    </xf>
    <xf numFmtId="164" fontId="15" fillId="6" borderId="4" xfId="0" applyNumberFormat="1" applyFont="1" applyFill="1" applyBorder="1" applyAlignment="1">
      <alignment horizontal="center"/>
    </xf>
    <xf numFmtId="0" fontId="13" fillId="6" borderId="0" xfId="0" applyFont="1" applyFill="1" applyAlignment="1">
      <alignment horizontal="center"/>
    </xf>
    <xf numFmtId="0" fontId="16" fillId="6" borderId="0" xfId="0" applyFont="1" applyFill="1" applyAlignment="1">
      <alignment horizontal="center"/>
    </xf>
    <xf numFmtId="164" fontId="22" fillId="6" borderId="4" xfId="0" applyNumberFormat="1" applyFont="1" applyFill="1" applyBorder="1" applyAlignment="1">
      <alignment horizontal="center"/>
    </xf>
    <xf numFmtId="0" fontId="23" fillId="6" borderId="0" xfId="0" applyFont="1" applyFill="1" applyAlignment="1">
      <alignment horizontal="center"/>
    </xf>
    <xf numFmtId="0" fontId="24" fillId="6" borderId="0" xfId="0" applyFont="1" applyFill="1" applyAlignment="1">
      <alignment horizontal="center"/>
    </xf>
    <xf numFmtId="0" fontId="6" fillId="2" borderId="0" xfId="0" applyFont="1" applyFill="1" applyAlignment="1">
      <alignment horizontal="center"/>
    </xf>
    <xf numFmtId="0" fontId="2" fillId="3" borderId="0" xfId="0" applyFont="1" applyFill="1" applyAlignment="1">
      <alignment horizontal="center"/>
    </xf>
    <xf numFmtId="0" fontId="2" fillId="15" borderId="2" xfId="0" applyFont="1" applyFill="1" applyBorder="1" applyAlignment="1">
      <alignment horizontal="center"/>
    </xf>
    <xf numFmtId="0" fontId="10" fillId="15" borderId="2" xfId="0" applyFont="1" applyFill="1" applyBorder="1" applyAlignment="1">
      <alignment horizontal="center"/>
    </xf>
    <xf numFmtId="0" fontId="10" fillId="15" borderId="13" xfId="0" applyFont="1" applyFill="1" applyBorder="1" applyAlignment="1">
      <alignment horizontal="center"/>
    </xf>
    <xf numFmtId="0" fontId="4" fillId="4" borderId="2" xfId="0" applyFont="1" applyFill="1" applyBorder="1" applyAlignment="1">
      <alignment horizontal="center"/>
    </xf>
    <xf numFmtId="0" fontId="0" fillId="4" borderId="2" xfId="0" applyFill="1" applyBorder="1" applyAlignment="1">
      <alignment horizontal="center"/>
    </xf>
    <xf numFmtId="0" fontId="0" fillId="4" borderId="13" xfId="0" applyFill="1" applyBorder="1" applyAlignment="1">
      <alignment horizontal="center"/>
    </xf>
    <xf numFmtId="0" fontId="9" fillId="2" borderId="0" xfId="0" applyFont="1" applyFill="1" applyAlignment="1">
      <alignment horizontal="center"/>
    </xf>
  </cellXfs>
  <cellStyles count="3">
    <cellStyle name="Hyperlink" xfId="2" builtinId="8"/>
    <cellStyle name="Normal" xfId="0" builtinId="0"/>
    <cellStyle name="Percent" xfId="1" builtinId="5"/>
  </cellStyles>
  <dxfs count="4">
    <dxf>
      <font>
        <b/>
        <i val="0"/>
        <color theme="0"/>
      </font>
      <fill>
        <patternFill>
          <bgColor rgb="FFFF0000"/>
        </patternFill>
      </fill>
    </dxf>
    <dxf>
      <font>
        <b/>
        <i val="0"/>
        <color theme="0"/>
      </font>
      <fill>
        <patternFill>
          <bgColor rgb="FF00B050"/>
        </patternFill>
      </fill>
    </dxf>
    <dxf>
      <font>
        <b/>
        <i val="0"/>
        <color theme="0"/>
      </font>
      <fill>
        <patternFill>
          <bgColor rgb="FFFFC000"/>
        </patternFill>
      </fill>
    </dxf>
    <dxf>
      <font>
        <b/>
        <i val="0"/>
        <color theme="0"/>
      </font>
      <fill>
        <patternFill>
          <bgColor rgb="FFFFC000"/>
        </patternFill>
      </fill>
    </dxf>
  </dxfs>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Market Cap. Of FMCG Companies (in Cr)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'Peer comparison FMCG'!$C$3</c:f>
              <c:strCache>
                <c:ptCount val="1"/>
                <c:pt idx="0">
                  <c:v>Market Cap. (in Cr)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CE-4770-A712-16C2987020FD}"/>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CE-4770-A712-16C2987020FD}"/>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CE-4770-A712-16C2987020FD}"/>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CE-4770-A712-16C2987020FD}"/>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2CE-4770-A712-16C2987020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FMCG'!$B$4:$B$8</c:f>
              <c:strCache>
                <c:ptCount val="5"/>
                <c:pt idx="0">
                  <c:v>Britannia Industries</c:v>
                </c:pt>
                <c:pt idx="1">
                  <c:v>Nestle India</c:v>
                </c:pt>
                <c:pt idx="2">
                  <c:v>Hindustan unilever ltd</c:v>
                </c:pt>
                <c:pt idx="3">
                  <c:v>Dabur India</c:v>
                </c:pt>
                <c:pt idx="4">
                  <c:v>Godrej Consumer</c:v>
                </c:pt>
              </c:strCache>
            </c:strRef>
          </c:cat>
          <c:val>
            <c:numRef>
              <c:f>'Peer comparison FMCG'!$C$4:$C$8</c:f>
              <c:numCache>
                <c:formatCode>0.00</c:formatCode>
                <c:ptCount val="5"/>
                <c:pt idx="0">
                  <c:v>109347.02</c:v>
                </c:pt>
                <c:pt idx="1">
                  <c:v>205943.98</c:v>
                </c:pt>
                <c:pt idx="2">
                  <c:v>503364.67</c:v>
                </c:pt>
                <c:pt idx="3">
                  <c:v>85797</c:v>
                </c:pt>
                <c:pt idx="4">
                  <c:v>101651</c:v>
                </c:pt>
              </c:numCache>
            </c:numRef>
          </c:val>
          <c:extLst>
            <c:ext xmlns:c16="http://schemas.microsoft.com/office/drawing/2014/chart" uri="{C3380CC4-5D6E-409C-BE32-E72D297353CC}">
              <c16:uniqueId val="{0000000A-22CE-4770-A712-16C2987020FD}"/>
            </c:ext>
          </c:extLst>
        </c:ser>
        <c:dLbls>
          <c:showLegendKey val="0"/>
          <c:showVal val="0"/>
          <c:showCatName val="0"/>
          <c:showSerName val="0"/>
          <c:showPercent val="0"/>
          <c:showBubbleSize val="0"/>
        </c:dLbls>
        <c:gapWidth val="100"/>
        <c:overlap val="-24"/>
        <c:axId val="56275375"/>
        <c:axId val="56277775"/>
      </c:barChart>
      <c:catAx>
        <c:axId val="56275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77775"/>
        <c:crosses val="autoZero"/>
        <c:auto val="1"/>
        <c:lblAlgn val="ctr"/>
        <c:lblOffset val="100"/>
        <c:noMultiLvlLbl val="0"/>
      </c:catAx>
      <c:valAx>
        <c:axId val="56277775"/>
        <c:scaling>
          <c:orientation val="minMax"/>
          <c:max val="600000"/>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7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and GP%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'Peer comparison FMCG'!$E$3</c:f>
              <c:strCache>
                <c:ptCount val="1"/>
                <c:pt idx="0">
                  <c:v>Revenue as on 2024 (In Cr)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85-44BA-85EB-3CA9C010F13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85-44BA-85EB-3CA9C010F13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885-44BA-85EB-3CA9C010F139}"/>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885-44BA-85EB-3CA9C010F139}"/>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885-44BA-85EB-3CA9C010F139}"/>
              </c:ext>
            </c:extLst>
          </c:dPt>
          <c:dLbls>
            <c:dLbl>
              <c:idx val="0"/>
              <c:layout>
                <c:manualLayout>
                  <c:x val="0"/>
                  <c:y val="1.4260717410323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85-44BA-85EB-3CA9C010F139}"/>
                </c:ext>
              </c:extLst>
            </c:dLbl>
            <c:dLbl>
              <c:idx val="1"/>
              <c:layout>
                <c:manualLayout>
                  <c:x val="-2.7777777777777779E-3"/>
                  <c:y val="4.5264654418197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85-44BA-85EB-3CA9C010F139}"/>
                </c:ext>
              </c:extLst>
            </c:dLbl>
            <c:dLbl>
              <c:idx val="2"/>
              <c:layout>
                <c:manualLayout>
                  <c:x val="-5.0925337632079971E-17"/>
                  <c:y val="1.21427529892096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85-44BA-85EB-3CA9C010F139}"/>
                </c:ext>
              </c:extLst>
            </c:dLbl>
            <c:dLbl>
              <c:idx val="3"/>
              <c:layout>
                <c:manualLayout>
                  <c:x val="-2.7777777777777779E-3"/>
                  <c:y val="1.14880431612714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85-44BA-85EB-3CA9C010F139}"/>
                </c:ext>
              </c:extLst>
            </c:dLbl>
            <c:dLbl>
              <c:idx val="4"/>
              <c:layout>
                <c:manualLayout>
                  <c:x val="-2.7777777777778798E-3"/>
                  <c:y val="-6.29009915427229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85-44BA-85EB-3CA9C010F1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FMCG'!$B$4:$B$8</c:f>
              <c:strCache>
                <c:ptCount val="5"/>
                <c:pt idx="0">
                  <c:v>Britannia Industries</c:v>
                </c:pt>
                <c:pt idx="1">
                  <c:v>Nestle India</c:v>
                </c:pt>
                <c:pt idx="2">
                  <c:v>Hindustan unilever ltd</c:v>
                </c:pt>
                <c:pt idx="3">
                  <c:v>Dabur India</c:v>
                </c:pt>
                <c:pt idx="4">
                  <c:v>Godrej Consumer</c:v>
                </c:pt>
              </c:strCache>
            </c:strRef>
          </c:cat>
          <c:val>
            <c:numRef>
              <c:f>'Peer comparison FMCG'!$E$4:$E$8</c:f>
              <c:numCache>
                <c:formatCode>#,##0</c:formatCode>
                <c:ptCount val="5"/>
                <c:pt idx="0">
                  <c:v>16186.08</c:v>
                </c:pt>
                <c:pt idx="1">
                  <c:v>19515</c:v>
                </c:pt>
                <c:pt idx="2">
                  <c:v>60469</c:v>
                </c:pt>
                <c:pt idx="3">
                  <c:v>9136</c:v>
                </c:pt>
                <c:pt idx="4" formatCode="General">
                  <c:v>8411</c:v>
                </c:pt>
              </c:numCache>
            </c:numRef>
          </c:val>
          <c:extLst>
            <c:ext xmlns:c16="http://schemas.microsoft.com/office/drawing/2014/chart" uri="{C3380CC4-5D6E-409C-BE32-E72D297353CC}">
              <c16:uniqueId val="{0000000A-A885-44BA-85EB-3CA9C010F139}"/>
            </c:ext>
          </c:extLst>
        </c:ser>
        <c:ser>
          <c:idx val="1"/>
          <c:order val="1"/>
          <c:tx>
            <c:strRef>
              <c:f>'Peer comparison FMCG'!$G$3</c:f>
              <c:strCache>
                <c:ptCount val="1"/>
                <c:pt idx="0">
                  <c:v>Gross Profit as on 2024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9.7223315835520616E-3"/>
                  <c:y val="7.544473607465648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885-44BA-85EB-3CA9C010F139}"/>
                </c:ext>
              </c:extLst>
            </c:dLbl>
            <c:dLbl>
              <c:idx val="1"/>
              <c:layout>
                <c:manualLayout>
                  <c:x val="2.7777777777777779E-3"/>
                  <c:y val="1.97440944881889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885-44BA-85EB-3CA9C010F139}"/>
                </c:ext>
              </c:extLst>
            </c:dLbl>
            <c:dLbl>
              <c:idx val="2"/>
              <c:layout>
                <c:manualLayout>
                  <c:x val="1.9444444444444445E-2"/>
                  <c:y val="1.82611548556429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885-44BA-85EB-3CA9C010F139}"/>
                </c:ext>
              </c:extLst>
            </c:dLbl>
            <c:dLbl>
              <c:idx val="3"/>
              <c:layout>
                <c:manualLayout>
                  <c:x val="8.3333333333333332E-3"/>
                  <c:y val="1.49839603382909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885-44BA-85EB-3CA9C010F139}"/>
                </c:ext>
              </c:extLst>
            </c:dLbl>
            <c:dLbl>
              <c:idx val="4"/>
              <c:layout>
                <c:manualLayout>
                  <c:x val="5.5555555555554534E-3"/>
                  <c:y val="1.06113298337708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885-44BA-85EB-3CA9C010F1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FMCG'!$B$4:$B$8</c:f>
              <c:strCache>
                <c:ptCount val="5"/>
                <c:pt idx="0">
                  <c:v>Britannia Industries</c:v>
                </c:pt>
                <c:pt idx="1">
                  <c:v>Nestle India</c:v>
                </c:pt>
                <c:pt idx="2">
                  <c:v>Hindustan unilever ltd</c:v>
                </c:pt>
                <c:pt idx="3">
                  <c:v>Dabur India</c:v>
                </c:pt>
                <c:pt idx="4">
                  <c:v>Godrej Consumer</c:v>
                </c:pt>
              </c:strCache>
            </c:strRef>
          </c:cat>
          <c:val>
            <c:numRef>
              <c:f>'Peer comparison FMCG'!$G$4:$G$8</c:f>
              <c:numCache>
                <c:formatCode>0</c:formatCode>
                <c:ptCount val="5"/>
                <c:pt idx="0">
                  <c:v>6968.0799999999981</c:v>
                </c:pt>
                <c:pt idx="1">
                  <c:v>11067</c:v>
                </c:pt>
                <c:pt idx="2">
                  <c:v>32115</c:v>
                </c:pt>
                <c:pt idx="3">
                  <c:v>4625</c:v>
                </c:pt>
                <c:pt idx="4">
                  <c:v>5338</c:v>
                </c:pt>
              </c:numCache>
            </c:numRef>
          </c:val>
          <c:extLst>
            <c:ext xmlns:c16="http://schemas.microsoft.com/office/drawing/2014/chart" uri="{C3380CC4-5D6E-409C-BE32-E72D297353CC}">
              <c16:uniqueId val="{00000010-A885-44BA-85EB-3CA9C010F139}"/>
            </c:ext>
          </c:extLst>
        </c:ser>
        <c:dLbls>
          <c:showLegendKey val="0"/>
          <c:showVal val="0"/>
          <c:showCatName val="0"/>
          <c:showSerName val="0"/>
          <c:showPercent val="0"/>
          <c:showBubbleSize val="0"/>
        </c:dLbls>
        <c:gapWidth val="199"/>
        <c:axId val="465662751"/>
        <c:axId val="465675231"/>
      </c:barChart>
      <c:lineChart>
        <c:grouping val="standard"/>
        <c:varyColors val="0"/>
        <c:ser>
          <c:idx val="2"/>
          <c:order val="2"/>
          <c:tx>
            <c:strRef>
              <c:f>'Peer comparison FMCG'!$I$3</c:f>
              <c:strCache>
                <c:ptCount val="1"/>
                <c:pt idx="0">
                  <c:v>GP%</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dLbl>
              <c:idx val="0"/>
              <c:layout>
                <c:manualLayout>
                  <c:x val="-6.7611111111111108E-2"/>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885-44BA-85EB-3CA9C010F139}"/>
                </c:ext>
              </c:extLst>
            </c:dLbl>
            <c:dLbl>
              <c:idx val="1"/>
              <c:layout>
                <c:manualLayout>
                  <c:x val="-4.5388888888888888E-2"/>
                  <c:y val="-3.240740740740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885-44BA-85EB-3CA9C010F139}"/>
                </c:ext>
              </c:extLst>
            </c:dLbl>
            <c:dLbl>
              <c:idx val="2"/>
              <c:layout>
                <c:manualLayout>
                  <c:x val="-5.0944444444444549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885-44BA-85EB-3CA9C010F139}"/>
                </c:ext>
              </c:extLst>
            </c:dLbl>
            <c:dLbl>
              <c:idx val="3"/>
              <c:layout>
                <c:manualLayout>
                  <c:x val="-5.0944444444444445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885-44BA-85EB-3CA9C010F139}"/>
                </c:ext>
              </c:extLst>
            </c:dLbl>
            <c:dLbl>
              <c:idx val="4"/>
              <c:layout>
                <c:manualLayout>
                  <c:x val="-2.8722222222222222E-2"/>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885-44BA-85EB-3CA9C010F1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'Peer Comparison'!#REF!</c:f>
            </c:multiLvlStrRef>
          </c:cat>
          <c:val>
            <c:numRef>
              <c:f>'Peer comparison FMCG'!$I$4:$I$8</c:f>
              <c:numCache>
                <c:formatCode>0%</c:formatCode>
                <c:ptCount val="5"/>
                <c:pt idx="0">
                  <c:v>0.43049830471615103</c:v>
                </c:pt>
                <c:pt idx="1">
                  <c:v>0.56710222905457341</c:v>
                </c:pt>
                <c:pt idx="2">
                  <c:v>0.53109857943739769</c:v>
                </c:pt>
                <c:pt idx="3">
                  <c:v>0.50623905429071803</c:v>
                </c:pt>
                <c:pt idx="4">
                  <c:v>0.63464510759719417</c:v>
                </c:pt>
              </c:numCache>
            </c:numRef>
          </c:val>
          <c:smooth val="0"/>
          <c:extLst>
            <c:ext xmlns:c16="http://schemas.microsoft.com/office/drawing/2014/chart" uri="{C3380CC4-5D6E-409C-BE32-E72D297353CC}">
              <c16:uniqueId val="{00000016-A885-44BA-85EB-3CA9C010F139}"/>
            </c:ext>
          </c:extLst>
        </c:ser>
        <c:dLbls>
          <c:showLegendKey val="0"/>
          <c:showVal val="0"/>
          <c:showCatName val="0"/>
          <c:showSerName val="0"/>
          <c:showPercent val="0"/>
          <c:showBubbleSize val="0"/>
        </c:dLbls>
        <c:marker val="1"/>
        <c:smooth val="0"/>
        <c:axId val="465673311"/>
        <c:axId val="465670911"/>
      </c:lineChart>
      <c:catAx>
        <c:axId val="465662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675231"/>
        <c:crosses val="autoZero"/>
        <c:auto val="1"/>
        <c:lblAlgn val="ctr"/>
        <c:lblOffset val="100"/>
        <c:noMultiLvlLbl val="0"/>
      </c:catAx>
      <c:valAx>
        <c:axId val="46567523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662751"/>
        <c:crosses val="autoZero"/>
        <c:crossBetween val="between"/>
      </c:valAx>
      <c:valAx>
        <c:axId val="46567091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673311"/>
        <c:crosses val="max"/>
        <c:crossBetween val="between"/>
      </c:valAx>
      <c:catAx>
        <c:axId val="465673311"/>
        <c:scaling>
          <c:orientation val="minMax"/>
        </c:scaling>
        <c:delete val="1"/>
        <c:axPos val="b"/>
        <c:numFmt formatCode="General" sourceLinked="1"/>
        <c:majorTickMark val="none"/>
        <c:minorTickMark val="none"/>
        <c:tickLblPos val="nextTo"/>
        <c:crossAx val="465670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Profitability Ratios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'Peer comparison FMCG'!$D$10</c:f>
              <c:strCache>
                <c:ptCount val="1"/>
                <c:pt idx="0">
                  <c:v>ROA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2"/>
              <c:layout>
                <c:manualLayout>
                  <c:x val="-1.3136290357114659E-2"/>
                  <c:y val="8.82515321543059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38-4F39-85E4-D2AF4B871055}"/>
                </c:ext>
              </c:extLst>
            </c:dLbl>
            <c:dLbl>
              <c:idx val="4"/>
              <c:layout>
                <c:manualLayout>
                  <c:x val="9.2752547084294167E-17"/>
                  <c:y val="-2.53968290244903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38-4F39-85E4-D2AF4B8710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FMCG'!$B$11:$B$15</c:f>
              <c:strCache>
                <c:ptCount val="5"/>
                <c:pt idx="0">
                  <c:v>Britannia Industries</c:v>
                </c:pt>
                <c:pt idx="1">
                  <c:v>Nestle India</c:v>
                </c:pt>
                <c:pt idx="2">
                  <c:v>Hindustan unilever ltd</c:v>
                </c:pt>
                <c:pt idx="3">
                  <c:v>Dabur India</c:v>
                </c:pt>
                <c:pt idx="4">
                  <c:v>Godrej Consumer</c:v>
                </c:pt>
              </c:strCache>
            </c:strRef>
          </c:cat>
          <c:val>
            <c:numRef>
              <c:f>'Peer comparison FMCG'!$D$11:$D$15</c:f>
              <c:numCache>
                <c:formatCode>0.0%</c:formatCode>
                <c:ptCount val="5"/>
                <c:pt idx="0">
                  <c:v>0.24872653162645544</c:v>
                </c:pt>
                <c:pt idx="1">
                  <c:v>0.38</c:v>
                </c:pt>
                <c:pt idx="2">
                  <c:v>0.1331</c:v>
                </c:pt>
                <c:pt idx="3">
                  <c:v>0.1429</c:v>
                </c:pt>
                <c:pt idx="4">
                  <c:v>0.05</c:v>
                </c:pt>
              </c:numCache>
            </c:numRef>
          </c:val>
          <c:extLst>
            <c:ext xmlns:c16="http://schemas.microsoft.com/office/drawing/2014/chart" uri="{C3380CC4-5D6E-409C-BE32-E72D297353CC}">
              <c16:uniqueId val="{00000000-9738-4F39-85E4-D2AF4B871055}"/>
            </c:ext>
          </c:extLst>
        </c:ser>
        <c:ser>
          <c:idx val="2"/>
          <c:order val="2"/>
          <c:tx>
            <c:strRef>
              <c:f>'Peer comparison FMCG'!$E$10</c:f>
              <c:strCache>
                <c:ptCount val="1"/>
                <c:pt idx="0">
                  <c:v>ROE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1"/>
              <c:layout>
                <c:manualLayout>
                  <c:x val="-7.8817742142688243E-3"/>
                  <c:y val="4.41257660771533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38-4F39-85E4-D2AF4B871055}"/>
                </c:ext>
              </c:extLst>
            </c:dLbl>
            <c:dLbl>
              <c:idx val="3"/>
              <c:layout>
                <c:manualLayout>
                  <c:x val="7.7263697873644871E-4"/>
                  <c:y val="-2.6475551481143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38-4F39-85E4-D2AF4B8710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FMCG'!$B$11:$B$15</c:f>
              <c:strCache>
                <c:ptCount val="5"/>
                <c:pt idx="0">
                  <c:v>Britannia Industries</c:v>
                </c:pt>
                <c:pt idx="1">
                  <c:v>Nestle India</c:v>
                </c:pt>
                <c:pt idx="2">
                  <c:v>Hindustan unilever ltd</c:v>
                </c:pt>
                <c:pt idx="3">
                  <c:v>Dabur India</c:v>
                </c:pt>
                <c:pt idx="4">
                  <c:v>Godrej Consumer</c:v>
                </c:pt>
              </c:strCache>
            </c:strRef>
          </c:cat>
          <c:val>
            <c:numRef>
              <c:f>'Peer comparison FMCG'!$E$11:$E$15</c:f>
              <c:numCache>
                <c:formatCode>0%</c:formatCode>
                <c:ptCount val="5"/>
                <c:pt idx="0">
                  <c:v>0.59023053023086991</c:v>
                </c:pt>
                <c:pt idx="1">
                  <c:v>1.35</c:v>
                </c:pt>
                <c:pt idx="2" formatCode="0.00%">
                  <c:v>0.20100000000000001</c:v>
                </c:pt>
                <c:pt idx="3" formatCode="0.00%">
                  <c:v>0.22900000000000001</c:v>
                </c:pt>
                <c:pt idx="4" formatCode="0.0%">
                  <c:v>0.128</c:v>
                </c:pt>
              </c:numCache>
            </c:numRef>
          </c:val>
          <c:extLst>
            <c:ext xmlns:c16="http://schemas.microsoft.com/office/drawing/2014/chart" uri="{C3380CC4-5D6E-409C-BE32-E72D297353CC}">
              <c16:uniqueId val="{00000001-9738-4F39-85E4-D2AF4B871055}"/>
            </c:ext>
          </c:extLst>
        </c:ser>
        <c:ser>
          <c:idx val="3"/>
          <c:order val="3"/>
          <c:tx>
            <c:strRef>
              <c:f>'Peer comparison FMCG'!$H$10</c:f>
              <c:strCache>
                <c:ptCount val="1"/>
                <c:pt idx="0">
                  <c:v>ROCE %</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1.3136290357114708E-2"/>
                  <c:y val="4.412576607715337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38-4F39-85E4-D2AF4B871055}"/>
                </c:ext>
              </c:extLst>
            </c:dLbl>
            <c:dLbl>
              <c:idx val="2"/>
              <c:layout>
                <c:manualLayout>
                  <c:x val="1.5763548428537649E-2"/>
                  <c:y val="-8.089630328711580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38-4F39-85E4-D2AF4B8710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FMCG'!$B$11:$B$15</c:f>
              <c:strCache>
                <c:ptCount val="5"/>
                <c:pt idx="0">
                  <c:v>Britannia Industries</c:v>
                </c:pt>
                <c:pt idx="1">
                  <c:v>Nestle India</c:v>
                </c:pt>
                <c:pt idx="2">
                  <c:v>Hindustan unilever ltd</c:v>
                </c:pt>
                <c:pt idx="3">
                  <c:v>Dabur India</c:v>
                </c:pt>
                <c:pt idx="4">
                  <c:v>Godrej Consumer</c:v>
                </c:pt>
              </c:strCache>
            </c:strRef>
          </c:cat>
          <c:val>
            <c:numRef>
              <c:f>'Peer comparison FMCG'!$H$11:$H$15</c:f>
              <c:numCache>
                <c:formatCode>0%</c:formatCode>
                <c:ptCount val="5"/>
                <c:pt idx="0" formatCode="0.00%">
                  <c:v>0.48899999999999999</c:v>
                </c:pt>
                <c:pt idx="1">
                  <c:v>1.69</c:v>
                </c:pt>
                <c:pt idx="2" formatCode="0.00%">
                  <c:v>0.27200000000000002</c:v>
                </c:pt>
                <c:pt idx="3">
                  <c:v>0.28100000000000003</c:v>
                </c:pt>
                <c:pt idx="4">
                  <c:v>0.24099999999999999</c:v>
                </c:pt>
              </c:numCache>
            </c:numRef>
          </c:val>
          <c:extLst>
            <c:ext xmlns:c16="http://schemas.microsoft.com/office/drawing/2014/chart" uri="{C3380CC4-5D6E-409C-BE32-E72D297353CC}">
              <c16:uniqueId val="{00000002-9738-4F39-85E4-D2AF4B871055}"/>
            </c:ext>
          </c:extLst>
        </c:ser>
        <c:dLbls>
          <c:showLegendKey val="0"/>
          <c:showVal val="0"/>
          <c:showCatName val="0"/>
          <c:showSerName val="0"/>
          <c:showPercent val="0"/>
          <c:showBubbleSize val="0"/>
        </c:dLbls>
        <c:gapWidth val="219"/>
        <c:overlap val="-27"/>
        <c:axId val="468419263"/>
        <c:axId val="468413023"/>
      </c:barChart>
      <c:lineChart>
        <c:grouping val="standard"/>
        <c:varyColors val="0"/>
        <c:ser>
          <c:idx val="0"/>
          <c:order val="0"/>
          <c:tx>
            <c:strRef>
              <c:f>'Peer comparison FMCG'!$C$10</c:f>
              <c:strCache>
                <c:ptCount val="1"/>
                <c:pt idx="0">
                  <c:v>EPS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0"/>
              <c:layout>
                <c:manualLayout>
                  <c:x val="-4.203612914276704E-2"/>
                  <c:y val="-3.9713189469438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38-4F39-85E4-D2AF4B871055}"/>
                </c:ext>
              </c:extLst>
            </c:dLbl>
            <c:dLbl>
              <c:idx val="1"/>
              <c:layout>
                <c:manualLayout>
                  <c:x val="-3.454478057727281E-2"/>
                  <c:y val="3.97133272217154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38-4F39-85E4-D2AF4B871055}"/>
                </c:ext>
              </c:extLst>
            </c:dLbl>
            <c:dLbl>
              <c:idx val="2"/>
              <c:layout>
                <c:manualLayout>
                  <c:x val="-2.8899838785652356E-2"/>
                  <c:y val="-4.85383426848687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38-4F39-85E4-D2AF4B871055}"/>
                </c:ext>
              </c:extLst>
            </c:dLbl>
            <c:dLbl>
              <c:idx val="3"/>
              <c:layout>
                <c:manualLayout>
                  <c:x val="-1.8586012581693064E-2"/>
                  <c:y val="4.05957884686969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38-4F39-85E4-D2AF4B871055}"/>
                </c:ext>
              </c:extLst>
            </c:dLbl>
            <c:dLbl>
              <c:idx val="4"/>
              <c:layout>
                <c:manualLayout>
                  <c:x val="-1.158278240538882E-2"/>
                  <c:y val="-0.101391340566906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38-4F39-85E4-D2AF4B8710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FMCG'!$B$11:$B$15</c:f>
              <c:strCache>
                <c:ptCount val="5"/>
                <c:pt idx="0">
                  <c:v>Britannia Industries</c:v>
                </c:pt>
                <c:pt idx="1">
                  <c:v>Nestle India</c:v>
                </c:pt>
                <c:pt idx="2">
                  <c:v>Hindustan unilever ltd</c:v>
                </c:pt>
                <c:pt idx="3">
                  <c:v>Dabur India</c:v>
                </c:pt>
                <c:pt idx="4">
                  <c:v>Godrej Consumer</c:v>
                </c:pt>
              </c:strCache>
            </c:strRef>
          </c:cat>
          <c:val>
            <c:numRef>
              <c:f>'Peer comparison FMCG'!$C$11:$C$15</c:f>
              <c:numCache>
                <c:formatCode>General</c:formatCode>
                <c:ptCount val="5"/>
                <c:pt idx="0" formatCode="0.00">
                  <c:v>86.404485049833838</c:v>
                </c:pt>
                <c:pt idx="1">
                  <c:v>40.79</c:v>
                </c:pt>
                <c:pt idx="2">
                  <c:v>43.05</c:v>
                </c:pt>
                <c:pt idx="3">
                  <c:v>8.52</c:v>
                </c:pt>
                <c:pt idx="4">
                  <c:v>6.33</c:v>
                </c:pt>
              </c:numCache>
            </c:numRef>
          </c:val>
          <c:smooth val="0"/>
          <c:extLst>
            <c:ext xmlns:c16="http://schemas.microsoft.com/office/drawing/2014/chart" uri="{C3380CC4-5D6E-409C-BE32-E72D297353CC}">
              <c16:uniqueId val="{00000003-9738-4F39-85E4-D2AF4B871055}"/>
            </c:ext>
          </c:extLst>
        </c:ser>
        <c:dLbls>
          <c:showLegendKey val="0"/>
          <c:showVal val="0"/>
          <c:showCatName val="0"/>
          <c:showSerName val="0"/>
          <c:showPercent val="0"/>
          <c:showBubbleSize val="0"/>
        </c:dLbls>
        <c:marker val="1"/>
        <c:smooth val="0"/>
        <c:axId val="573836479"/>
        <c:axId val="573840319"/>
      </c:lineChart>
      <c:catAx>
        <c:axId val="4684192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413023"/>
        <c:crosses val="autoZero"/>
        <c:auto val="1"/>
        <c:lblAlgn val="ctr"/>
        <c:lblOffset val="100"/>
        <c:noMultiLvlLbl val="0"/>
      </c:catAx>
      <c:valAx>
        <c:axId val="46841302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419263"/>
        <c:crosses val="autoZero"/>
        <c:crossBetween val="between"/>
      </c:valAx>
      <c:valAx>
        <c:axId val="57384031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3836479"/>
        <c:crosses val="max"/>
        <c:crossBetween val="between"/>
      </c:valAx>
      <c:catAx>
        <c:axId val="573836479"/>
        <c:scaling>
          <c:orientation val="minMax"/>
        </c:scaling>
        <c:delete val="1"/>
        <c:axPos val="b"/>
        <c:numFmt formatCode="General" sourceLinked="1"/>
        <c:majorTickMark val="none"/>
        <c:minorTickMark val="none"/>
        <c:tickLblPos val="nextTo"/>
        <c:crossAx val="573840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Market Share of Biscuit Industry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pieChart>
        <c:varyColors val="1"/>
        <c:ser>
          <c:idx val="0"/>
          <c:order val="0"/>
          <c:tx>
            <c:strRef>
              <c:f>'Peer Comparison Categories'!$C$12</c:f>
              <c:strCache>
                <c:ptCount val="1"/>
                <c:pt idx="0">
                  <c:v>% of market share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4D-4157-9797-8CBAA88E91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4D-4157-9797-8CBAA88E91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4D-4157-9797-8CBAA88E913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D4D-4157-9797-8CBAA88E913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D4D-4157-9797-8CBAA88E913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D4D-4157-9797-8CBAA88E913D}"/>
              </c:ext>
            </c:extLst>
          </c:dPt>
          <c:dLbls>
            <c:dLbl>
              <c:idx val="0"/>
              <c:layout>
                <c:manualLayout>
                  <c:x val="-9.6722003499562559E-2"/>
                  <c:y val="9.3406605424321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4D-4157-9797-8CBAA88E913D}"/>
                </c:ext>
              </c:extLst>
            </c:dLbl>
            <c:dLbl>
              <c:idx val="1"/>
              <c:layout>
                <c:manualLayout>
                  <c:x val="-4.4876859142607174E-2"/>
                  <c:y val="-0.137059273840769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4D-4157-9797-8CBAA88E913D}"/>
                </c:ext>
              </c:extLst>
            </c:dLbl>
            <c:dLbl>
              <c:idx val="2"/>
              <c:layout>
                <c:manualLayout>
                  <c:x val="8.5262248468941385E-2"/>
                  <c:y val="-5.2758821813939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4D-4157-9797-8CBAA88E913D}"/>
                </c:ext>
              </c:extLst>
            </c:dLbl>
            <c:dLbl>
              <c:idx val="3"/>
              <c:layout>
                <c:manualLayout>
                  <c:x val="5.8309055118110235E-2"/>
                  <c:y val="-2.83537474482356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4D-4157-9797-8CBAA88E913D}"/>
                </c:ext>
              </c:extLst>
            </c:dLbl>
            <c:dLbl>
              <c:idx val="4"/>
              <c:layout>
                <c:manualLayout>
                  <c:x val="5.9997484689413821E-2"/>
                  <c:y val="2.4241396908719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4D-4157-9797-8CBAA88E913D}"/>
                </c:ext>
              </c:extLst>
            </c:dLbl>
            <c:dLbl>
              <c:idx val="5"/>
              <c:layout>
                <c:manualLayout>
                  <c:x val="6.8147637795275592E-2"/>
                  <c:y val="0.1158552055993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D4D-4157-9797-8CBAA88E91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'Peer Comparison Categories'!$B$13:$B$18</c:f>
              <c:strCache>
                <c:ptCount val="6"/>
                <c:pt idx="0">
                  <c:v>Britannia</c:v>
                </c:pt>
                <c:pt idx="1">
                  <c:v>Parle </c:v>
                </c:pt>
                <c:pt idx="2">
                  <c:v>ITC</c:v>
                </c:pt>
                <c:pt idx="3">
                  <c:v>Priya gold</c:v>
                </c:pt>
                <c:pt idx="4">
                  <c:v>Anmol Industries</c:v>
                </c:pt>
                <c:pt idx="5">
                  <c:v>Others</c:v>
                </c:pt>
              </c:strCache>
            </c:strRef>
          </c:cat>
          <c:val>
            <c:numRef>
              <c:f>'Peer Comparison Categories'!$C$13:$C$18</c:f>
              <c:numCache>
                <c:formatCode>0%</c:formatCode>
                <c:ptCount val="6"/>
                <c:pt idx="0">
                  <c:v>0.31</c:v>
                </c:pt>
                <c:pt idx="1">
                  <c:v>0.28999999999999998</c:v>
                </c:pt>
                <c:pt idx="2">
                  <c:v>0.12</c:v>
                </c:pt>
                <c:pt idx="3">
                  <c:v>0.05</c:v>
                </c:pt>
                <c:pt idx="4">
                  <c:v>0.04</c:v>
                </c:pt>
                <c:pt idx="5">
                  <c:v>0.19</c:v>
                </c:pt>
              </c:numCache>
            </c:numRef>
          </c:val>
          <c:extLst>
            <c:ext xmlns:c16="http://schemas.microsoft.com/office/drawing/2014/chart" uri="{C3380CC4-5D6E-409C-BE32-E72D297353CC}">
              <c16:uniqueId val="{0000000C-8D4D-4157-9797-8CBAA88E913D}"/>
            </c:ext>
          </c:extLst>
        </c:ser>
        <c:ser>
          <c:idx val="1"/>
          <c:order val="1"/>
          <c:tx>
            <c:strRef>
              <c:f>'Peer Comparison Categories'!$D$12</c:f>
              <c:strCache>
                <c:ptCount val="1"/>
                <c:pt idx="0">
                  <c:v>In Crores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8D4D-4157-9797-8CBAA88E91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8D4D-4157-9797-8CBAA88E91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8D4D-4157-9797-8CBAA88E913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8D4D-4157-9797-8CBAA88E913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8D4D-4157-9797-8CBAA88E913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8D4D-4157-9797-8CBAA88E913D}"/>
              </c:ext>
            </c:extLst>
          </c:dPt>
          <c:cat>
            <c:strRef>
              <c:f>'Peer Comparison Categories'!$B$13:$B$18</c:f>
              <c:strCache>
                <c:ptCount val="6"/>
                <c:pt idx="0">
                  <c:v>Britannia</c:v>
                </c:pt>
                <c:pt idx="1">
                  <c:v>Parle </c:v>
                </c:pt>
                <c:pt idx="2">
                  <c:v>ITC</c:v>
                </c:pt>
                <c:pt idx="3">
                  <c:v>Priya gold</c:v>
                </c:pt>
                <c:pt idx="4">
                  <c:v>Anmol Industries</c:v>
                </c:pt>
                <c:pt idx="5">
                  <c:v>Others</c:v>
                </c:pt>
              </c:strCache>
            </c:strRef>
          </c:cat>
          <c:val>
            <c:numRef>
              <c:f>'Peer Comparison Categories'!$D$13:$D$18</c:f>
              <c:numCache>
                <c:formatCode>0</c:formatCode>
                <c:ptCount val="6"/>
                <c:pt idx="0">
                  <c:v>12563.99</c:v>
                </c:pt>
                <c:pt idx="1">
                  <c:v>11753.41</c:v>
                </c:pt>
                <c:pt idx="2">
                  <c:v>4863.4799999999996</c:v>
                </c:pt>
                <c:pt idx="3">
                  <c:v>2026.45</c:v>
                </c:pt>
                <c:pt idx="4">
                  <c:v>1621.16</c:v>
                </c:pt>
                <c:pt idx="5">
                  <c:v>7700.51</c:v>
                </c:pt>
              </c:numCache>
            </c:numRef>
          </c:val>
          <c:extLst>
            <c:ext xmlns:c16="http://schemas.microsoft.com/office/drawing/2014/chart" uri="{C3380CC4-5D6E-409C-BE32-E72D297353CC}">
              <c16:uniqueId val="{00000019-8D4D-4157-9797-8CBAA88E913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Market Share of Cheese Industry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'Peer Comparison Categories'!$G$4</c:f>
              <c:strCache>
                <c:ptCount val="1"/>
                <c:pt idx="0">
                  <c:v>% of Market Share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739-4C77-88B2-2DF06BDDD9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739-4C77-88B2-2DF06BDDD9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739-4C77-88B2-2DF06BDDD9B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739-4C77-88B2-2DF06BDDD9B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739-4C77-88B2-2DF06BDDD9B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739-4C77-88B2-2DF06BDDD9BB}"/>
              </c:ext>
            </c:extLst>
          </c:dPt>
          <c:dLbls>
            <c:dLbl>
              <c:idx val="1"/>
              <c:layout>
                <c:manualLayout>
                  <c:x val="-8.1298044196088395E-2"/>
                  <c:y val="-5.13167954717644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39-4C77-88B2-2DF06BDDD9BB}"/>
                </c:ext>
              </c:extLst>
            </c:dLbl>
            <c:dLbl>
              <c:idx val="2"/>
              <c:layout>
                <c:manualLayout>
                  <c:x val="-3.5932537465074882E-2"/>
                  <c:y val="-0.10586107324083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39-4C77-88B2-2DF06BDDD9BB}"/>
                </c:ext>
              </c:extLst>
            </c:dLbl>
            <c:dLbl>
              <c:idx val="3"/>
              <c:layout>
                <c:manualLayout>
                  <c:x val="5.9176428752857509E-2"/>
                  <c:y val="-0.11533793037567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39-4C77-88B2-2DF06BDDD9BB}"/>
                </c:ext>
              </c:extLst>
            </c:dLbl>
            <c:dLbl>
              <c:idx val="4"/>
              <c:layout>
                <c:manualLayout>
                  <c:x val="6.6466852933705866E-4"/>
                  <c:y val="-0.10588530098998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39-4C77-88B2-2DF06BDDD9BB}"/>
                </c:ext>
              </c:extLst>
            </c:dLbl>
            <c:dLbl>
              <c:idx val="5"/>
              <c:layout>
                <c:manualLayout>
                  <c:x val="9.5225196850393698E-2"/>
                  <c:y val="-7.76520126856494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39-4C77-88B2-2DF06BDDD9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'Peer Comparison Categories'!$F$5:$F$11</c15:sqref>
                  </c15:fullRef>
                </c:ext>
              </c:extLst>
              <c:f>'Peer Comparison Categories'!$F$5:$F$10</c:f>
              <c:strCache>
                <c:ptCount val="6"/>
                <c:pt idx="0">
                  <c:v>Amul</c:v>
                </c:pt>
                <c:pt idx="1">
                  <c:v>Britannia</c:v>
                </c:pt>
                <c:pt idx="2">
                  <c:v>Parag Milk Foods(Go Cheese)</c:v>
                </c:pt>
                <c:pt idx="3">
                  <c:v>Mother Dairy</c:v>
                </c:pt>
                <c:pt idx="4">
                  <c:v>Karnataka Milk Federation (Nandini)</c:v>
                </c:pt>
                <c:pt idx="5">
                  <c:v>Others</c:v>
                </c:pt>
              </c:strCache>
            </c:strRef>
          </c:cat>
          <c:val>
            <c:numRef>
              <c:extLst>
                <c:ext xmlns:c15="http://schemas.microsoft.com/office/drawing/2012/chart" uri="{02D57815-91ED-43cb-92C2-25804820EDAC}">
                  <c15:fullRef>
                    <c15:sqref>'Peer Comparison Categories'!$G$5:$G$11</c15:sqref>
                  </c15:fullRef>
                </c:ext>
              </c:extLst>
              <c:f>'Peer Comparison Categories'!$G$5:$G$10</c:f>
              <c:numCache>
                <c:formatCode>0%</c:formatCode>
                <c:ptCount val="6"/>
                <c:pt idx="0">
                  <c:v>0.9</c:v>
                </c:pt>
                <c:pt idx="1">
                  <c:v>0.05</c:v>
                </c:pt>
                <c:pt idx="2">
                  <c:v>0.02</c:v>
                </c:pt>
                <c:pt idx="3">
                  <c:v>0.01</c:v>
                </c:pt>
                <c:pt idx="4">
                  <c:v>0.01</c:v>
                </c:pt>
                <c:pt idx="5">
                  <c:v>0.01</c:v>
                </c:pt>
              </c:numCache>
            </c:numRef>
          </c:val>
          <c:extLst>
            <c:ext xmlns:c15="http://schemas.microsoft.com/office/drawing/2012/chart" uri="{02D57815-91ED-43cb-92C2-25804820EDAC}">
              <c15:categoryFilterExceptions>
                <c15:categoryFilterException>
                  <c15:sqref>'Peer Comparison Categories'!$G$11</c15:sqref>
                  <c15:spPr xmlns:c15="http://schemas.microsoft.com/office/drawing/2012/chart">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15:spPr>
                </c15:categoryFilterException>
              </c15:categoryFilterExceptions>
            </c:ext>
            <c:ext xmlns:c16="http://schemas.microsoft.com/office/drawing/2014/chart" uri="{C3380CC4-5D6E-409C-BE32-E72D297353CC}">
              <c16:uniqueId val="{0000000E-D739-4C77-88B2-2DF06BDDD9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'Peer Comparison Categories'!$H$4</c:f>
              <c:strCache>
                <c:ptCount val="1"/>
                <c:pt idx="0">
                  <c:v>in Crores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Categories'!$F$5:$F$10</c:f>
              <c:strCache>
                <c:ptCount val="6"/>
                <c:pt idx="0">
                  <c:v>Amul</c:v>
                </c:pt>
                <c:pt idx="1">
                  <c:v>Britannia</c:v>
                </c:pt>
                <c:pt idx="2">
                  <c:v>Parag Milk Foods(Go Cheese)</c:v>
                </c:pt>
                <c:pt idx="3">
                  <c:v>Mother Dairy</c:v>
                </c:pt>
                <c:pt idx="4">
                  <c:v>Karnataka Milk Federation (Nandini)</c:v>
                </c:pt>
                <c:pt idx="5">
                  <c:v>Others</c:v>
                </c:pt>
              </c:strCache>
            </c:strRef>
          </c:cat>
          <c:val>
            <c:numRef>
              <c:f>'Peer Comparison Categories'!$H$5:$H$10</c:f>
              <c:numCache>
                <c:formatCode>0</c:formatCode>
                <c:ptCount val="6"/>
                <c:pt idx="0">
                  <c:v>8001</c:v>
                </c:pt>
                <c:pt idx="1">
                  <c:v>444.5</c:v>
                </c:pt>
                <c:pt idx="2">
                  <c:v>177.8</c:v>
                </c:pt>
                <c:pt idx="3">
                  <c:v>88.9</c:v>
                </c:pt>
                <c:pt idx="4">
                  <c:v>88.9</c:v>
                </c:pt>
                <c:pt idx="5">
                  <c:v>88.9</c:v>
                </c:pt>
              </c:numCache>
            </c:numRef>
          </c:val>
          <c:extLst>
            <c:ext xmlns:c16="http://schemas.microsoft.com/office/drawing/2014/chart" uri="{C3380CC4-5D6E-409C-BE32-E72D297353CC}">
              <c16:uniqueId val="{00000000-31B8-4E16-9F17-50447AB3A9AB}"/>
            </c:ext>
          </c:extLst>
        </c:ser>
        <c:dLbls>
          <c:dLblPos val="inEnd"/>
          <c:showLegendKey val="0"/>
          <c:showVal val="1"/>
          <c:showCatName val="0"/>
          <c:showSerName val="0"/>
          <c:showPercent val="0"/>
          <c:showBubbleSize val="0"/>
        </c:dLbls>
        <c:gapWidth val="100"/>
        <c:overlap val="-24"/>
        <c:axId val="416420591"/>
        <c:axId val="416404271"/>
      </c:barChart>
      <c:catAx>
        <c:axId val="416420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404271"/>
        <c:crosses val="autoZero"/>
        <c:auto val="1"/>
        <c:lblAlgn val="ctr"/>
        <c:lblOffset val="100"/>
        <c:noMultiLvlLbl val="0"/>
      </c:catAx>
      <c:valAx>
        <c:axId val="41640427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42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Market Share of Flavoured Milk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'Peer Comparison Categories'!$G$12</c:f>
              <c:strCache>
                <c:ptCount val="1"/>
                <c:pt idx="0">
                  <c:v>% of Market Share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1AC-417A-B796-2E0F97F38FFC}"/>
              </c:ext>
            </c:extLst>
          </c:dPt>
          <c:dPt>
            <c:idx val="1"/>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1AC-417A-B796-2E0F97F38FFC}"/>
              </c:ext>
            </c:extLst>
          </c:dPt>
          <c:dPt>
            <c:idx val="2"/>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1AC-417A-B796-2E0F97F38FFC}"/>
              </c:ext>
            </c:extLst>
          </c:dPt>
          <c:dPt>
            <c:idx val="3"/>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1AC-417A-B796-2E0F97F38FFC}"/>
              </c:ext>
            </c:extLst>
          </c:dPt>
          <c:dPt>
            <c:idx val="4"/>
            <c:bubble3D val="0"/>
            <c:spPr>
              <a:solidFill>
                <a:srgbClr val="00206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1AC-417A-B796-2E0F97F38FFC}"/>
              </c:ext>
            </c:extLst>
          </c:dPt>
          <c:dPt>
            <c:idx val="5"/>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1AC-417A-B796-2E0F97F38F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'Peer Comparison Categories'!$F$13:$F$18</c:f>
              <c:strCache>
                <c:ptCount val="6"/>
                <c:pt idx="0">
                  <c:v>Amul</c:v>
                </c:pt>
                <c:pt idx="1">
                  <c:v>Mother Dairy</c:v>
                </c:pt>
                <c:pt idx="2">
                  <c:v>Britannia</c:v>
                </c:pt>
                <c:pt idx="3">
                  <c:v>Parle Agro</c:v>
                </c:pt>
                <c:pt idx="4">
                  <c:v>CavinKare</c:v>
                </c:pt>
                <c:pt idx="5">
                  <c:v>Others</c:v>
                </c:pt>
              </c:strCache>
            </c:strRef>
          </c:cat>
          <c:val>
            <c:numRef>
              <c:f>'Peer Comparison Categories'!$G$13:$G$18</c:f>
              <c:numCache>
                <c:formatCode>0%</c:formatCode>
                <c:ptCount val="6"/>
                <c:pt idx="0">
                  <c:v>0.25</c:v>
                </c:pt>
                <c:pt idx="1">
                  <c:v>0.2</c:v>
                </c:pt>
                <c:pt idx="2">
                  <c:v>0.15</c:v>
                </c:pt>
                <c:pt idx="3">
                  <c:v>0.1</c:v>
                </c:pt>
                <c:pt idx="4">
                  <c:v>0.05</c:v>
                </c:pt>
                <c:pt idx="5">
                  <c:v>0.25</c:v>
                </c:pt>
              </c:numCache>
            </c:numRef>
          </c:val>
          <c:extLst>
            <c:ext xmlns:c16="http://schemas.microsoft.com/office/drawing/2014/chart" uri="{C3380CC4-5D6E-409C-BE32-E72D297353CC}">
              <c16:uniqueId val="{0000000C-41AC-417A-B796-2E0F97F38FFC}"/>
            </c:ext>
          </c:extLst>
        </c:ser>
        <c:ser>
          <c:idx val="1"/>
          <c:order val="1"/>
          <c:tx>
            <c:strRef>
              <c:f>'Peer Comparison Categories'!$H$12</c:f>
              <c:strCache>
                <c:ptCount val="1"/>
                <c:pt idx="0">
                  <c:v>in Crores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41AC-417A-B796-2E0F97F38F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41AC-417A-B796-2E0F97F38F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41AC-417A-B796-2E0F97F38FF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41AC-417A-B796-2E0F97F38FF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41AC-417A-B796-2E0F97F38FF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41AC-417A-B796-2E0F97F38FFC}"/>
              </c:ext>
            </c:extLst>
          </c:dPt>
          <c:cat>
            <c:strRef>
              <c:f>'Peer Comparison Categories'!$F$13:$F$18</c:f>
              <c:strCache>
                <c:ptCount val="6"/>
                <c:pt idx="0">
                  <c:v>Amul</c:v>
                </c:pt>
                <c:pt idx="1">
                  <c:v>Mother Dairy</c:v>
                </c:pt>
                <c:pt idx="2">
                  <c:v>Britannia</c:v>
                </c:pt>
                <c:pt idx="3">
                  <c:v>Parle Agro</c:v>
                </c:pt>
                <c:pt idx="4">
                  <c:v>CavinKare</c:v>
                </c:pt>
                <c:pt idx="5">
                  <c:v>Others</c:v>
                </c:pt>
              </c:strCache>
            </c:strRef>
          </c:cat>
          <c:val>
            <c:numRef>
              <c:f>'Peer Comparison Categories'!$H$13:$H$18</c:f>
              <c:numCache>
                <c:formatCode>0</c:formatCode>
                <c:ptCount val="6"/>
                <c:pt idx="0">
                  <c:v>1582.5</c:v>
                </c:pt>
                <c:pt idx="1">
                  <c:v>1266</c:v>
                </c:pt>
                <c:pt idx="2">
                  <c:v>949.5</c:v>
                </c:pt>
                <c:pt idx="3">
                  <c:v>633</c:v>
                </c:pt>
                <c:pt idx="4">
                  <c:v>316.5</c:v>
                </c:pt>
                <c:pt idx="5">
                  <c:v>1582.5</c:v>
                </c:pt>
              </c:numCache>
            </c:numRef>
          </c:val>
          <c:extLst>
            <c:ext xmlns:c16="http://schemas.microsoft.com/office/drawing/2014/chart" uri="{C3380CC4-5D6E-409C-BE32-E72D297353CC}">
              <c16:uniqueId val="{00000019-41AC-417A-B796-2E0F97F38F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 Crores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'Peer Comparison Categories'!$H$12</c:f>
              <c:strCache>
                <c:ptCount val="1"/>
                <c:pt idx="0">
                  <c:v>in Crores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'Peer Comparison Categories'!$F$13:$F$18</c:f>
              <c:strCache>
                <c:ptCount val="6"/>
                <c:pt idx="0">
                  <c:v>Amul</c:v>
                </c:pt>
                <c:pt idx="1">
                  <c:v>Mother Dairy</c:v>
                </c:pt>
                <c:pt idx="2">
                  <c:v>Britannia</c:v>
                </c:pt>
                <c:pt idx="3">
                  <c:v>Parle Agro</c:v>
                </c:pt>
                <c:pt idx="4">
                  <c:v>CavinKare</c:v>
                </c:pt>
                <c:pt idx="5">
                  <c:v>Others</c:v>
                </c:pt>
              </c:strCache>
            </c:strRef>
          </c:cat>
          <c:val>
            <c:numRef>
              <c:f>'Peer Comparison Categories'!$H$13:$H$18</c:f>
              <c:numCache>
                <c:formatCode>0</c:formatCode>
                <c:ptCount val="6"/>
                <c:pt idx="0">
                  <c:v>1582.5</c:v>
                </c:pt>
                <c:pt idx="1">
                  <c:v>1266</c:v>
                </c:pt>
                <c:pt idx="2">
                  <c:v>949.5</c:v>
                </c:pt>
                <c:pt idx="3">
                  <c:v>633</c:v>
                </c:pt>
                <c:pt idx="4">
                  <c:v>316.5</c:v>
                </c:pt>
                <c:pt idx="5">
                  <c:v>1582.5</c:v>
                </c:pt>
              </c:numCache>
            </c:numRef>
          </c:val>
          <c:extLst>
            <c:ext xmlns:c16="http://schemas.microsoft.com/office/drawing/2014/chart" uri="{C3380CC4-5D6E-409C-BE32-E72D297353CC}">
              <c16:uniqueId val="{00000001-8C22-4036-AFB1-1405EBD73BC5}"/>
            </c:ext>
          </c:extLst>
        </c:ser>
        <c:dLbls>
          <c:dLblPos val="inEnd"/>
          <c:showLegendKey val="0"/>
          <c:showVal val="1"/>
          <c:showCatName val="0"/>
          <c:showSerName val="0"/>
          <c:showPercent val="0"/>
          <c:showBubbleSize val="0"/>
        </c:dLbls>
        <c:gapWidth val="100"/>
        <c:overlap val="-24"/>
        <c:axId val="1361623520"/>
        <c:axId val="1361626400"/>
        <c:extLst>
          <c:ext xmlns:c15="http://schemas.microsoft.com/office/drawing/2012/chart" uri="{02D57815-91ED-43cb-92C2-25804820EDAC}">
            <c15:filteredBarSeries>
              <c15:ser>
                <c:idx val="0"/>
                <c:order val="0"/>
                <c:tx>
                  <c:strRef>
                    <c:extLst>
                      <c:ext uri="{02D57815-91ED-43cb-92C2-25804820EDAC}">
                        <c15:formulaRef>
                          <c15:sqref>'Peer Comparison Categories'!$G$12</c15:sqref>
                        </c15:formulaRef>
                      </c:ext>
                    </c:extLst>
                    <c:strCache>
                      <c:ptCount val="1"/>
                      <c:pt idx="0">
                        <c:v>% of Market Share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'Peer Comparison Categories'!$F$13:$F$18</c15:sqref>
                        </c15:formulaRef>
                      </c:ext>
                    </c:extLst>
                    <c:strCache>
                      <c:ptCount val="6"/>
                      <c:pt idx="0">
                        <c:v>Amul</c:v>
                      </c:pt>
                      <c:pt idx="1">
                        <c:v>Mother Dairy</c:v>
                      </c:pt>
                      <c:pt idx="2">
                        <c:v>Britannia</c:v>
                      </c:pt>
                      <c:pt idx="3">
                        <c:v>Parle Agro</c:v>
                      </c:pt>
                      <c:pt idx="4">
                        <c:v>CavinKare</c:v>
                      </c:pt>
                      <c:pt idx="5">
                        <c:v>Others</c:v>
                      </c:pt>
                    </c:strCache>
                  </c:strRef>
                </c:cat>
                <c:val>
                  <c:numRef>
                    <c:extLst>
                      <c:ext uri="{02D57815-91ED-43cb-92C2-25804820EDAC}">
                        <c15:formulaRef>
                          <c15:sqref>'Peer Comparison Categories'!$G$13:$G$18</c15:sqref>
                        </c15:formulaRef>
                      </c:ext>
                    </c:extLst>
                    <c:numCache>
                      <c:formatCode>0%</c:formatCode>
                      <c:ptCount val="6"/>
                      <c:pt idx="0">
                        <c:v>0.25</c:v>
                      </c:pt>
                      <c:pt idx="1">
                        <c:v>0.2</c:v>
                      </c:pt>
                      <c:pt idx="2">
                        <c:v>0.15</c:v>
                      </c:pt>
                      <c:pt idx="3">
                        <c:v>0.1</c:v>
                      </c:pt>
                      <c:pt idx="4">
                        <c:v>0.05</c:v>
                      </c:pt>
                      <c:pt idx="5">
                        <c:v>0.25</c:v>
                      </c:pt>
                    </c:numCache>
                  </c:numRef>
                </c:val>
                <c:extLst>
                  <c:ext xmlns:c16="http://schemas.microsoft.com/office/drawing/2014/chart" uri="{C3380CC4-5D6E-409C-BE32-E72D297353CC}">
                    <c16:uniqueId val="{00000000-8C22-4036-AFB1-1405EBD73BC5}"/>
                  </c:ext>
                </c:extLst>
              </c15:ser>
            </c15:filteredBarSeries>
          </c:ext>
        </c:extLst>
      </c:barChart>
      <c:catAx>
        <c:axId val="1361623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1626400"/>
        <c:crosses val="autoZero"/>
        <c:auto val="1"/>
        <c:lblAlgn val="ctr"/>
        <c:lblOffset val="100"/>
        <c:noMultiLvlLbl val="0"/>
      </c:catAx>
      <c:valAx>
        <c:axId val="13616264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1623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Revenue</a:t>
            </a:r>
            <a:r>
              <a:rPr lang="en-IN" b="1" baseline="0">
                <a:solidFill>
                  <a:schemeClr val="tx1"/>
                </a:solidFill>
              </a:rPr>
              <a:t> &amp; EBITDA FOR 2022-29</a:t>
            </a:r>
            <a:endParaRPr lang="en-IN"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barChart>
        <c:barDir val="col"/>
        <c:grouping val="clustered"/>
        <c:varyColors val="0"/>
        <c:ser>
          <c:idx val="0"/>
          <c:order val="0"/>
          <c:tx>
            <c:strRef>
              <c:f>'Revenues&amp;EBITDA'!$B$5</c:f>
              <c:strCache>
                <c:ptCount val="1"/>
                <c:pt idx="0">
                  <c:v>Revenue</c:v>
                </c:pt>
              </c:strCache>
            </c:strRef>
          </c:tx>
          <c:spPr>
            <a:solidFill>
              <a:srgbClr val="FF0000"/>
            </a:solidFill>
            <a:ln>
              <a:noFill/>
            </a:ln>
            <a:effectLst/>
          </c:spPr>
          <c:invertIfNegative val="0"/>
          <c:dLbls>
            <c:dLbl>
              <c:idx val="8"/>
              <c:layout>
                <c:manualLayout>
                  <c:x val="3.6215509212627621E-3"/>
                  <c:y val="1.6986203377884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8F3-4D46-8693-FDDB5B7F67B6}"/>
                </c:ext>
              </c:extLst>
            </c:dLbl>
            <c:spPr>
              <a:noFill/>
              <a:ln>
                <a:solidFill>
                  <a:srgbClr val="00B05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'Revenues&amp;EBITDA'!$C$4:$K$4</c:f>
              <c:strCache>
                <c:ptCount val="9"/>
                <c:pt idx="0">
                  <c:v>FY22</c:v>
                </c:pt>
                <c:pt idx="1">
                  <c:v>FY23</c:v>
                </c:pt>
                <c:pt idx="2">
                  <c:v>FY24</c:v>
                </c:pt>
                <c:pt idx="4">
                  <c:v>FY25</c:v>
                </c:pt>
                <c:pt idx="5">
                  <c:v>FY26</c:v>
                </c:pt>
                <c:pt idx="6">
                  <c:v>FY27</c:v>
                </c:pt>
                <c:pt idx="7">
                  <c:v>FY28</c:v>
                </c:pt>
                <c:pt idx="8">
                  <c:v>FY29</c:v>
                </c:pt>
              </c:strCache>
            </c:strRef>
          </c:cat>
          <c:val>
            <c:numRef>
              <c:f>'Revenues&amp;EBITDA'!$C$5:$K$5</c:f>
              <c:numCache>
                <c:formatCode>0.00</c:formatCode>
                <c:ptCount val="9"/>
                <c:pt idx="0">
                  <c:v>13731.050000000001</c:v>
                </c:pt>
                <c:pt idx="1">
                  <c:v>15839.01</c:v>
                </c:pt>
                <c:pt idx="2">
                  <c:v>16396.189999999999</c:v>
                </c:pt>
                <c:pt idx="4">
                  <c:v>17033.127700000001</c:v>
                </c:pt>
                <c:pt idx="5">
                  <c:v>17696.488402999999</c:v>
                </c:pt>
                <c:pt idx="6">
                  <c:v>18387.281754370004</c:v>
                </c:pt>
                <c:pt idx="7">
                  <c:v>19106.560149032306</c:v>
                </c:pt>
                <c:pt idx="8">
                  <c:v>19855.420323256723</c:v>
                </c:pt>
              </c:numCache>
            </c:numRef>
          </c:val>
          <c:extLst>
            <c:ext xmlns:c16="http://schemas.microsoft.com/office/drawing/2014/chart" uri="{C3380CC4-5D6E-409C-BE32-E72D297353CC}">
              <c16:uniqueId val="{00000000-F8F3-4D46-8693-FDDB5B7F67B6}"/>
            </c:ext>
          </c:extLst>
        </c:ser>
        <c:ser>
          <c:idx val="1"/>
          <c:order val="1"/>
          <c:tx>
            <c:strRef>
              <c:f>'Revenues&amp;EBITDA'!$B$6</c:f>
              <c:strCache>
                <c:ptCount val="1"/>
                <c:pt idx="0">
                  <c:v>EBITDA</c:v>
                </c:pt>
              </c:strCache>
            </c:strRef>
          </c:tx>
          <c:spPr>
            <a:solidFill>
              <a:srgbClr val="FFC000"/>
            </a:solidFill>
            <a:ln>
              <a:noFill/>
            </a:ln>
            <a:effectLst/>
          </c:spPr>
          <c:invertIfNegative val="0"/>
          <c:dLbls>
            <c:dLbl>
              <c:idx val="0"/>
              <c:layout>
                <c:manualLayout>
                  <c:x val="1.55219247186650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8F3-4D46-8693-FDDB5B7F67B6}"/>
                </c:ext>
              </c:extLst>
            </c:dLbl>
            <c:dLbl>
              <c:idx val="1"/>
              <c:layout>
                <c:manualLayout>
                  <c:x val="1.552192471866511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8F3-4D46-8693-FDDB5B7F67B6}"/>
                </c:ext>
              </c:extLst>
            </c:dLbl>
            <c:dLbl>
              <c:idx val="2"/>
              <c:layout>
                <c:manualLayout>
                  <c:x val="2.3282887077997673E-2"/>
                  <c:y val="-3.85802469135816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8F3-4D46-8693-FDDB5B7F67B6}"/>
                </c:ext>
              </c:extLst>
            </c:dLbl>
            <c:dLbl>
              <c:idx val="4"/>
              <c:layout>
                <c:manualLayout>
                  <c:x val="1.9402405898331324E-2"/>
                  <c:y val="-3.85802469135802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8F3-4D46-8693-FDDB5B7F67B6}"/>
                </c:ext>
              </c:extLst>
            </c:dLbl>
            <c:dLbl>
              <c:idx val="5"/>
              <c:layout>
                <c:manualLayout>
                  <c:x val="1.940240589833132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8F3-4D46-8693-FDDB5B7F67B6}"/>
                </c:ext>
              </c:extLst>
            </c:dLbl>
            <c:dLbl>
              <c:idx val="6"/>
              <c:layout>
                <c:manualLayout>
                  <c:x val="1.746216530849825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8F3-4D46-8693-FDDB5B7F67B6}"/>
                </c:ext>
              </c:extLst>
            </c:dLbl>
            <c:dLbl>
              <c:idx val="7"/>
              <c:layout>
                <c:manualLayout>
                  <c:x val="1.9402405898331393E-2"/>
                  <c:y val="-3.85802469135802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8F3-4D46-8693-FDDB5B7F67B6}"/>
                </c:ext>
              </c:extLst>
            </c:dLbl>
            <c:dLbl>
              <c:idx val="8"/>
              <c:layout>
                <c:manualLayout>
                  <c:x val="1.35816841288319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8F3-4D46-8693-FDDB5B7F67B6}"/>
                </c:ext>
              </c:extLst>
            </c:dLbl>
            <c:spPr>
              <a:noFill/>
              <a:ln>
                <a:solidFill>
                  <a:srgbClr val="00B05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'Revenues&amp;EBITDA'!$C$4:$K$4</c:f>
              <c:strCache>
                <c:ptCount val="9"/>
                <c:pt idx="0">
                  <c:v>FY22</c:v>
                </c:pt>
                <c:pt idx="1">
                  <c:v>FY23</c:v>
                </c:pt>
                <c:pt idx="2">
                  <c:v>FY24</c:v>
                </c:pt>
                <c:pt idx="4">
                  <c:v>FY25</c:v>
                </c:pt>
                <c:pt idx="5">
                  <c:v>FY26</c:v>
                </c:pt>
                <c:pt idx="6">
                  <c:v>FY27</c:v>
                </c:pt>
                <c:pt idx="7">
                  <c:v>FY28</c:v>
                </c:pt>
                <c:pt idx="8">
                  <c:v>FY29</c:v>
                </c:pt>
              </c:strCache>
            </c:strRef>
          </c:cat>
          <c:val>
            <c:numRef>
              <c:f>'Revenues&amp;EBITDA'!$C$6:$K$6</c:f>
              <c:numCache>
                <c:formatCode>0.00</c:formatCode>
                <c:ptCount val="9"/>
                <c:pt idx="0">
                  <c:v>2448.5899999999992</c:v>
                </c:pt>
                <c:pt idx="1">
                  <c:v>2962.3799999999992</c:v>
                </c:pt>
                <c:pt idx="2">
                  <c:v>3280.9299999999985</c:v>
                </c:pt>
                <c:pt idx="4">
                  <c:v>3406.6255400000005</c:v>
                </c:pt>
                <c:pt idx="5">
                  <c:v>3539.2976806000006</c:v>
                </c:pt>
                <c:pt idx="6">
                  <c:v>3677.4563508740011</c:v>
                </c:pt>
                <c:pt idx="7">
                  <c:v>3821.3120298064623</c:v>
                </c:pt>
                <c:pt idx="8">
                  <c:v>3971.0840646513461</c:v>
                </c:pt>
              </c:numCache>
            </c:numRef>
          </c:val>
          <c:extLst>
            <c:ext xmlns:c16="http://schemas.microsoft.com/office/drawing/2014/chart" uri="{C3380CC4-5D6E-409C-BE32-E72D297353CC}">
              <c16:uniqueId val="{00000001-F8F3-4D46-8693-FDDB5B7F67B6}"/>
            </c:ext>
          </c:extLst>
        </c:ser>
        <c:dLbls>
          <c:showLegendKey val="0"/>
          <c:showVal val="0"/>
          <c:showCatName val="0"/>
          <c:showSerName val="0"/>
          <c:showPercent val="0"/>
          <c:showBubbleSize val="0"/>
        </c:dLbls>
        <c:gapWidth val="219"/>
        <c:overlap val="-27"/>
        <c:axId val="1439867664"/>
        <c:axId val="1439870064"/>
      </c:barChart>
      <c:lineChart>
        <c:grouping val="standard"/>
        <c:varyColors val="0"/>
        <c:ser>
          <c:idx val="2"/>
          <c:order val="2"/>
          <c:tx>
            <c:strRef>
              <c:f>'Revenues&amp;EBITDA'!$B$7</c:f>
              <c:strCache>
                <c:ptCount val="1"/>
                <c:pt idx="0">
                  <c:v>EBITDA%</c:v>
                </c:pt>
              </c:strCache>
            </c:strRef>
          </c:tx>
          <c:spPr>
            <a:ln w="28575" cap="rnd">
              <a:solidFill>
                <a:srgbClr val="00B050"/>
              </a:solidFill>
              <a:round/>
            </a:ln>
            <a:effectLst/>
          </c:spPr>
          <c:marker>
            <c:symbol val="none"/>
          </c:marker>
          <c:dLbls>
            <c:dLbl>
              <c:idx val="0"/>
              <c:layout>
                <c:manualLayout>
                  <c:x val="-3.6864571206829649E-2"/>
                  <c:y val="-3.85802469135802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F3-4D46-8693-FDDB5B7F67B6}"/>
                </c:ext>
              </c:extLst>
            </c:dLbl>
            <c:dLbl>
              <c:idx val="1"/>
              <c:layout>
                <c:manualLayout>
                  <c:x val="-3.6864571206829649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F3-4D46-8693-FDDB5B7F67B6}"/>
                </c:ext>
              </c:extLst>
            </c:dLbl>
            <c:dLbl>
              <c:idx val="2"/>
              <c:layout>
                <c:manualLayout>
                  <c:x val="-2.7163368257663988E-2"/>
                  <c:y val="-3.8580246913580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F3-4D46-8693-FDDB5B7F67B6}"/>
                </c:ext>
              </c:extLst>
            </c:dLbl>
            <c:dLbl>
              <c:idx val="4"/>
              <c:layout>
                <c:manualLayout>
                  <c:x val="-3.1043849437330299E-2"/>
                  <c:y val="3.4722222222222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F3-4D46-8693-FDDB5B7F67B6}"/>
                </c:ext>
              </c:extLst>
            </c:dLbl>
            <c:dLbl>
              <c:idx val="5"/>
              <c:layout>
                <c:manualLayout>
                  <c:x val="-4.0745052386495922E-2"/>
                  <c:y val="-3.4722222222222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F3-4D46-8693-FDDB5B7F67B6}"/>
                </c:ext>
              </c:extLst>
            </c:dLbl>
            <c:dLbl>
              <c:idx val="6"/>
              <c:layout>
                <c:manualLayout>
                  <c:x val="-4.2685292976329066E-2"/>
                  <c:y val="3.4722222222222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8F3-4D46-8693-FDDB5B7F67B6}"/>
                </c:ext>
              </c:extLst>
            </c:dLbl>
            <c:dLbl>
              <c:idx val="7"/>
              <c:layout>
                <c:manualLayout>
                  <c:x val="-3.8804811796662786E-2"/>
                  <c:y val="-3.0864197530864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8F3-4D46-8693-FDDB5B7F67B6}"/>
                </c:ext>
              </c:extLst>
            </c:dLbl>
            <c:dLbl>
              <c:idx val="8"/>
              <c:layout>
                <c:manualLayout>
                  <c:x val="-3.8804811796662786E-2"/>
                  <c:y val="-3.4722222222222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8F3-4D46-8693-FDDB5B7F67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'Revenues&amp;EBITDA'!$C$4:$K$4</c:f>
              <c:strCache>
                <c:ptCount val="9"/>
                <c:pt idx="0">
                  <c:v>FY22</c:v>
                </c:pt>
                <c:pt idx="1">
                  <c:v>FY23</c:v>
                </c:pt>
                <c:pt idx="2">
                  <c:v>FY24</c:v>
                </c:pt>
                <c:pt idx="4">
                  <c:v>FY25</c:v>
                </c:pt>
                <c:pt idx="5">
                  <c:v>FY26</c:v>
                </c:pt>
                <c:pt idx="6">
                  <c:v>FY27</c:v>
                </c:pt>
                <c:pt idx="7">
                  <c:v>FY28</c:v>
                </c:pt>
                <c:pt idx="8">
                  <c:v>FY29</c:v>
                </c:pt>
              </c:strCache>
            </c:strRef>
          </c:cat>
          <c:val>
            <c:numRef>
              <c:f>'Revenues&amp;EBITDA'!$C$7:$K$7</c:f>
              <c:numCache>
                <c:formatCode>0%</c:formatCode>
                <c:ptCount val="9"/>
                <c:pt idx="0">
                  <c:v>0.17832503705106303</c:v>
                </c:pt>
                <c:pt idx="1">
                  <c:v>0.18703062880823987</c:v>
                </c:pt>
                <c:pt idx="2">
                  <c:v>0.2001031947055992</c:v>
                </c:pt>
                <c:pt idx="4">
                  <c:v>0.2</c:v>
                </c:pt>
                <c:pt idx="5">
                  <c:v>0.20000000000000004</c:v>
                </c:pt>
                <c:pt idx="6">
                  <c:v>0.2</c:v>
                </c:pt>
                <c:pt idx="7">
                  <c:v>0.20000000000000007</c:v>
                </c:pt>
                <c:pt idx="8">
                  <c:v>0.20000000000000007</c:v>
                </c:pt>
              </c:numCache>
            </c:numRef>
          </c:val>
          <c:smooth val="0"/>
          <c:extLst>
            <c:ext xmlns:c16="http://schemas.microsoft.com/office/drawing/2014/chart" uri="{C3380CC4-5D6E-409C-BE32-E72D297353CC}">
              <c16:uniqueId val="{00000002-F8F3-4D46-8693-FDDB5B7F67B6}"/>
            </c:ext>
          </c:extLst>
        </c:ser>
        <c:dLbls>
          <c:showLegendKey val="0"/>
          <c:showVal val="0"/>
          <c:showCatName val="0"/>
          <c:showSerName val="0"/>
          <c:showPercent val="0"/>
          <c:showBubbleSize val="0"/>
        </c:dLbls>
        <c:marker val="1"/>
        <c:smooth val="0"/>
        <c:axId val="1500268352"/>
        <c:axId val="1500265472"/>
      </c:lineChart>
      <c:catAx>
        <c:axId val="14398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870064"/>
        <c:crosses val="autoZero"/>
        <c:auto val="1"/>
        <c:lblAlgn val="ctr"/>
        <c:lblOffset val="100"/>
        <c:noMultiLvlLbl val="0"/>
      </c:catAx>
      <c:valAx>
        <c:axId val="1439870064"/>
        <c:scaling>
          <c:orientation val="minMax"/>
          <c:max val="3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Revenue</a:t>
                </a:r>
                <a:r>
                  <a:rPr lang="en-IN" b="1" baseline="0">
                    <a:solidFill>
                      <a:schemeClr val="tx1"/>
                    </a:solidFill>
                  </a:rPr>
                  <a:t> and EBITDA </a:t>
                </a:r>
                <a:endParaRPr lang="en-IN" b="1">
                  <a:solidFill>
                    <a:schemeClr val="tx1"/>
                  </a:solidFill>
                </a:endParaRPr>
              </a:p>
            </c:rich>
          </c:tx>
          <c:layout>
            <c:manualLayout>
              <c:xMode val="edge"/>
              <c:yMode val="edge"/>
              <c:x val="9.0090090090090089E-3"/>
              <c:y val="0.3299291496378584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39867664"/>
        <c:crosses val="autoZero"/>
        <c:crossBetween val="between"/>
      </c:valAx>
      <c:valAx>
        <c:axId val="1500265472"/>
        <c:scaling>
          <c:orientation val="minMax"/>
          <c:max val="0.24000000000000002"/>
          <c:min val="0"/>
        </c:scaling>
        <c:delete val="0"/>
        <c:axPos val="r"/>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 EBITDA</a:t>
                </a:r>
                <a:r>
                  <a:rPr lang="en-IN" b="1" baseline="0">
                    <a:solidFill>
                      <a:schemeClr val="tx1"/>
                    </a:solidFill>
                  </a:rPr>
                  <a:t>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0268352"/>
        <c:crosses val="max"/>
        <c:crossBetween val="between"/>
        <c:majorUnit val="2.0000000000000004E-2"/>
      </c:valAx>
      <c:catAx>
        <c:axId val="1500268352"/>
        <c:scaling>
          <c:orientation val="minMax"/>
        </c:scaling>
        <c:delete val="1"/>
        <c:axPos val="b"/>
        <c:numFmt formatCode="General" sourceLinked="1"/>
        <c:majorTickMark val="out"/>
        <c:minorTickMark val="none"/>
        <c:tickLblPos val="nextTo"/>
        <c:crossAx val="15002654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Working</a:t>
            </a:r>
            <a:r>
              <a:rPr lang="en-IN" b="1" baseline="0">
                <a:solidFill>
                  <a:schemeClr val="tx1"/>
                </a:solidFill>
              </a:rPr>
              <a:t> Capital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barChart>
        <c:barDir val="col"/>
        <c:grouping val="clustered"/>
        <c:varyColors val="0"/>
        <c:ser>
          <c:idx val="2"/>
          <c:order val="2"/>
          <c:tx>
            <c:strRef>
              <c:f>'Working Capital'!$B$9</c:f>
              <c:strCache>
                <c:ptCount val="1"/>
                <c:pt idx="0">
                  <c:v>DSO</c:v>
                </c:pt>
              </c:strCache>
            </c:strRef>
          </c:tx>
          <c:spPr>
            <a:solidFill>
              <a:srgbClr val="FF0000"/>
            </a:solidFill>
            <a:ln>
              <a:noFill/>
            </a:ln>
            <a:effectLst/>
          </c:spPr>
          <c:invertIfNegative val="0"/>
          <c:val>
            <c:numRef>
              <c:f>'Working Capital'!$C$9:$K$9</c:f>
              <c:numCache>
                <c:formatCode>0</c:formatCode>
                <c:ptCount val="9"/>
                <c:pt idx="0">
                  <c:v>6.6554269338470098</c:v>
                </c:pt>
                <c:pt idx="1">
                  <c:v>6.3281227804010483</c:v>
                </c:pt>
                <c:pt idx="2">
                  <c:v>7.6199409740921524</c:v>
                </c:pt>
                <c:pt idx="4">
                  <c:v>7.6199409740921524</c:v>
                </c:pt>
                <c:pt idx="5">
                  <c:v>7.6199409740921533</c:v>
                </c:pt>
                <c:pt idx="6">
                  <c:v>7.6199409740921533</c:v>
                </c:pt>
                <c:pt idx="7">
                  <c:v>7.6199409740921524</c:v>
                </c:pt>
                <c:pt idx="8">
                  <c:v>7.6199409740921524</c:v>
                </c:pt>
              </c:numCache>
            </c:numRef>
          </c:val>
          <c:extLst>
            <c:ext xmlns:c16="http://schemas.microsoft.com/office/drawing/2014/chart" uri="{C3380CC4-5D6E-409C-BE32-E72D297353CC}">
              <c16:uniqueId val="{00000002-1584-418F-92B7-693D08B49EA8}"/>
            </c:ext>
          </c:extLst>
        </c:ser>
        <c:ser>
          <c:idx val="3"/>
          <c:order val="3"/>
          <c:tx>
            <c:strRef>
              <c:f>'Working Capital'!$B$10</c:f>
              <c:strCache>
                <c:ptCount val="1"/>
                <c:pt idx="0">
                  <c:v>DPO</c:v>
                </c:pt>
              </c:strCache>
            </c:strRef>
          </c:tx>
          <c:spPr>
            <a:solidFill>
              <a:schemeClr val="accent4"/>
            </a:solidFill>
            <a:ln>
              <a:noFill/>
            </a:ln>
            <a:effectLst/>
          </c:spPr>
          <c:invertIfNegative val="0"/>
          <c:val>
            <c:numRef>
              <c:f>'Working Capital'!$C$10:$K$10</c:f>
              <c:numCache>
                <c:formatCode>0</c:formatCode>
                <c:ptCount val="9"/>
                <c:pt idx="0">
                  <c:v>50.7229558175314</c:v>
                </c:pt>
                <c:pt idx="1">
                  <c:v>49.82915546493107</c:v>
                </c:pt>
                <c:pt idx="2">
                  <c:v>57.777263947917454</c:v>
                </c:pt>
                <c:pt idx="4">
                  <c:v>52.776458410126644</c:v>
                </c:pt>
                <c:pt idx="5">
                  <c:v>52.776458410126651</c:v>
                </c:pt>
                <c:pt idx="6">
                  <c:v>52.776458410126651</c:v>
                </c:pt>
                <c:pt idx="7">
                  <c:v>52.776458410126651</c:v>
                </c:pt>
                <c:pt idx="8">
                  <c:v>52.776458410126651</c:v>
                </c:pt>
              </c:numCache>
            </c:numRef>
          </c:val>
          <c:extLst>
            <c:ext xmlns:c16="http://schemas.microsoft.com/office/drawing/2014/chart" uri="{C3380CC4-5D6E-409C-BE32-E72D297353CC}">
              <c16:uniqueId val="{00000003-1584-418F-92B7-693D08B49EA8}"/>
            </c:ext>
          </c:extLst>
        </c:ser>
        <c:ser>
          <c:idx val="4"/>
          <c:order val="4"/>
          <c:tx>
            <c:strRef>
              <c:f>'Working Capital'!$B$11</c:f>
              <c:strCache>
                <c:ptCount val="1"/>
                <c:pt idx="0">
                  <c:v>DIO</c:v>
                </c:pt>
              </c:strCache>
            </c:strRef>
          </c:tx>
          <c:spPr>
            <a:solidFill>
              <a:srgbClr val="00B050"/>
            </a:solidFill>
            <a:ln>
              <a:noFill/>
            </a:ln>
            <a:effectLst/>
          </c:spPr>
          <c:invertIfNegative val="0"/>
          <c:val>
            <c:numRef>
              <c:f>'Working Capital'!$C$11:$K$11</c:f>
              <c:numCache>
                <c:formatCode>0</c:formatCode>
                <c:ptCount val="9"/>
                <c:pt idx="0">
                  <c:v>53.162241498107534</c:v>
                </c:pt>
                <c:pt idx="1">
                  <c:v>40.914611575632065</c:v>
                </c:pt>
                <c:pt idx="2">
                  <c:v>41.064264205657338</c:v>
                </c:pt>
                <c:pt idx="4">
                  <c:v>41.064264205657338</c:v>
                </c:pt>
                <c:pt idx="5">
                  <c:v>41.064264205657338</c:v>
                </c:pt>
                <c:pt idx="6">
                  <c:v>41.064264205657338</c:v>
                </c:pt>
                <c:pt idx="7">
                  <c:v>41.064264205657338</c:v>
                </c:pt>
                <c:pt idx="8">
                  <c:v>41.064264205657338</c:v>
                </c:pt>
              </c:numCache>
            </c:numRef>
          </c:val>
          <c:extLst>
            <c:ext xmlns:c16="http://schemas.microsoft.com/office/drawing/2014/chart" uri="{C3380CC4-5D6E-409C-BE32-E72D297353CC}">
              <c16:uniqueId val="{00000004-1584-418F-92B7-693D08B49EA8}"/>
            </c:ext>
          </c:extLst>
        </c:ser>
        <c:dLbls>
          <c:showLegendKey val="0"/>
          <c:showVal val="0"/>
          <c:showCatName val="0"/>
          <c:showSerName val="0"/>
          <c:showPercent val="0"/>
          <c:showBubbleSize val="0"/>
        </c:dLbls>
        <c:gapWidth val="219"/>
        <c:overlap val="-27"/>
        <c:axId val="688793999"/>
        <c:axId val="688796879"/>
        <c:extLst>
          <c:ext xmlns:c15="http://schemas.microsoft.com/office/drawing/2012/chart" uri="{02D57815-91ED-43cb-92C2-25804820EDAC}">
            <c15:filteredBarSeries>
              <c15:ser>
                <c:idx val="1"/>
                <c:order val="1"/>
                <c:tx>
                  <c:strRef>
                    <c:extLst>
                      <c:ext uri="{02D57815-91ED-43cb-92C2-25804820EDAC}">
                        <c15:formulaRef>
                          <c15:sqref>'Working Capital'!$B$8</c15:sqref>
                        </c15:formulaRef>
                      </c:ext>
                    </c:extLst>
                    <c:strCache>
                      <c:ptCount val="1"/>
                    </c:strCache>
                  </c:strRef>
                </c:tx>
                <c:spPr>
                  <a:solidFill>
                    <a:schemeClr val="accent2"/>
                  </a:solidFill>
                  <a:ln>
                    <a:noFill/>
                  </a:ln>
                  <a:effectLst/>
                </c:spPr>
                <c:invertIfNegative val="0"/>
                <c:val>
                  <c:numRef>
                    <c:extLst>
                      <c:ext uri="{02D57815-91ED-43cb-92C2-25804820EDAC}">
                        <c15:formulaRef>
                          <c15:sqref>'Working Capital'!$C$8:$K$8</c15:sqref>
                        </c15:formulaRef>
                      </c:ext>
                    </c:extLst>
                    <c:numCache>
                      <c:formatCode>General</c:formatCode>
                      <c:ptCount val="9"/>
                    </c:numCache>
                  </c:numRef>
                </c:val>
                <c:extLst>
                  <c:ext xmlns:c16="http://schemas.microsoft.com/office/drawing/2014/chart" uri="{C3380CC4-5D6E-409C-BE32-E72D297353CC}">
                    <c16:uniqueId val="{00000001-1584-418F-92B7-693D08B49EA8}"/>
                  </c:ext>
                </c:extLst>
              </c15:ser>
            </c15:filteredBarSeries>
          </c:ext>
        </c:extLst>
      </c:barChart>
      <c:lineChart>
        <c:grouping val="standard"/>
        <c:varyColors val="0"/>
        <c:ser>
          <c:idx val="0"/>
          <c:order val="0"/>
          <c:tx>
            <c:strRef>
              <c:f>'Working Capital'!$B$7</c:f>
              <c:strCache>
                <c:ptCount val="1"/>
                <c:pt idx="0">
                  <c:v>Working Capital</c:v>
                </c:pt>
              </c:strCache>
            </c:strRef>
          </c:tx>
          <c:spPr>
            <a:ln w="28575" cap="rnd">
              <a:solidFill>
                <a:srgbClr val="002060"/>
              </a:solidFill>
              <a:round/>
            </a:ln>
            <a:effectLst/>
          </c:spPr>
          <c:marker>
            <c:symbol val="none"/>
          </c:marker>
          <c:val>
            <c:numRef>
              <c:f>'Working Capital'!$C$7:$K$7</c:f>
              <c:numCache>
                <c:formatCode>General</c:formatCode>
                <c:ptCount val="9"/>
                <c:pt idx="0">
                  <c:v>311.27999999999997</c:v>
                </c:pt>
                <c:pt idx="1">
                  <c:v>44.279999999999973</c:v>
                </c:pt>
                <c:pt idx="2">
                  <c:v>-90.650000000000091</c:v>
                </c:pt>
                <c:pt idx="4">
                  <c:v>39.122649860159072</c:v>
                </c:pt>
                <c:pt idx="5">
                  <c:v>40.64629419439666</c:v>
                </c:pt>
                <c:pt idx="6">
                  <c:v>42.232947385012949</c:v>
                </c:pt>
                <c:pt idx="7">
                  <c:v>43.885026632111476</c:v>
                </c:pt>
                <c:pt idx="8">
                  <c:v>45.605050981509066</c:v>
                </c:pt>
              </c:numCache>
            </c:numRef>
          </c:val>
          <c:smooth val="0"/>
          <c:extLst>
            <c:ext xmlns:c16="http://schemas.microsoft.com/office/drawing/2014/chart" uri="{C3380CC4-5D6E-409C-BE32-E72D297353CC}">
              <c16:uniqueId val="{00000000-1584-418F-92B7-693D08B49EA8}"/>
            </c:ext>
          </c:extLst>
        </c:ser>
        <c:dLbls>
          <c:showLegendKey val="0"/>
          <c:showVal val="0"/>
          <c:showCatName val="0"/>
          <c:showSerName val="0"/>
          <c:showPercent val="0"/>
          <c:showBubbleSize val="0"/>
        </c:dLbls>
        <c:marker val="1"/>
        <c:smooth val="0"/>
        <c:axId val="811013279"/>
        <c:axId val="811023839"/>
      </c:lineChart>
      <c:catAx>
        <c:axId val="6887939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96879"/>
        <c:crosses val="autoZero"/>
        <c:auto val="1"/>
        <c:lblAlgn val="ctr"/>
        <c:lblOffset val="100"/>
        <c:noMultiLvlLbl val="0"/>
      </c:catAx>
      <c:valAx>
        <c:axId val="688796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DSO,</a:t>
                </a:r>
                <a:r>
                  <a:rPr lang="en-IN" b="1" baseline="0">
                    <a:solidFill>
                      <a:schemeClr val="tx1"/>
                    </a:solidFill>
                  </a:rPr>
                  <a:t> </a:t>
                </a:r>
                <a:r>
                  <a:rPr lang="en-IN" b="1">
                    <a:solidFill>
                      <a:schemeClr val="tx1"/>
                    </a:solidFill>
                  </a:rPr>
                  <a:t>DPO,</a:t>
                </a:r>
                <a:r>
                  <a:rPr lang="en-IN" b="1" baseline="0">
                    <a:solidFill>
                      <a:schemeClr val="tx1"/>
                    </a:solidFill>
                  </a:rPr>
                  <a:t> DI</a:t>
                </a:r>
                <a:r>
                  <a:rPr lang="en-IN" b="1">
                    <a:solidFill>
                      <a:schemeClr val="tx1"/>
                    </a:solidFill>
                  </a:rPr>
                  <a:t>O</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93999"/>
        <c:crosses val="autoZero"/>
        <c:crossBetween val="between"/>
        <c:majorUnit val="10"/>
      </c:valAx>
      <c:valAx>
        <c:axId val="811023839"/>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 Working</a:t>
                </a:r>
                <a:r>
                  <a:rPr lang="en-IN" b="1" baseline="0">
                    <a:solidFill>
                      <a:schemeClr val="tx1"/>
                    </a:solidFill>
                  </a:rPr>
                  <a:t> Capital</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13279"/>
        <c:crosses val="max"/>
        <c:crossBetween val="between"/>
      </c:valAx>
      <c:catAx>
        <c:axId val="811013279"/>
        <c:scaling>
          <c:orientation val="minMax"/>
        </c:scaling>
        <c:delete val="1"/>
        <c:axPos val="b"/>
        <c:majorTickMark val="out"/>
        <c:minorTickMark val="none"/>
        <c:tickLblPos val="nextTo"/>
        <c:crossAx val="8110238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data id="1">
      <cx:strDim type="cat">
        <cx:f>_xlchart.v5.0</cx:f>
      </cx:strDim>
      <cx:numDim type="val">
        <cx:f>_xlchart.v5.4</cx:f>
      </cx:numDim>
    </cx:data>
  </cx:chartData>
  <cx:chart>
    <cx:title pos="t" align="ctr" overlay="0">
      <cx:tx>
        <cx:txData>
          <cx:v>Revenue Distribution Of Britannia </cx:v>
        </cx:txData>
      </cx:tx>
      <cx:spPr>
        <a:noFill/>
      </cx:spPr>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Calibri" panose="020F0502020204030204"/>
            </a:rPr>
            <a:t>Revenue Distribution Of Britannia </a:t>
          </a:r>
        </a:p>
      </cx:txPr>
    </cx:title>
    <cx:plotArea>
      <cx:plotAreaRegion>
        <cx:series layoutId="waterfall" uniqueId="{13272643-FD31-4683-8BC6-BD13E8CB90FB}" formatIdx="0">
          <cx:tx>
            <cx:txData>
              <cx:f>_xlchart.v5.1</cx:f>
              <cx:v>% of Revenue</cx:v>
            </cx:txData>
          </cx:tx>
          <cx:dataPt idx="0">
            <cx:spPr>
              <a:solidFill>
                <a:srgbClr val="FF0000"/>
              </a:solidFill>
            </cx:spPr>
          </cx:dataPt>
          <cx:dataPt idx="1">
            <cx:spPr>
              <a:solidFill>
                <a:srgbClr val="FFC000"/>
              </a:solidFill>
            </cx:spPr>
          </cx:dataPt>
          <cx:dataPt idx="2">
            <cx:spPr>
              <a:solidFill>
                <a:srgbClr val="00B050"/>
              </a:solidFill>
            </cx:spPr>
          </cx:dataPt>
          <cx:dataPt idx="3">
            <cx:spPr>
              <a:solidFill>
                <a:srgbClr val="0070C0"/>
              </a:solidFill>
            </cx:spPr>
          </cx:dataPt>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layoutPr>
            <cx:subtotals>
              <cx:idx val="3"/>
            </cx:subtotals>
          </cx:layoutPr>
        </cx:series>
        <cx:series layoutId="waterfall" hidden="1" uniqueId="{A0CB33C8-8208-4FF1-8686-68B3A6C139D5}" formatIdx="1">
          <cx:tx>
            <cx:txData>
              <cx:f>_xlchart.v5.3</cx:f>
              <cx:v>In Crores</cx:v>
            </cx:txData>
          </cx:tx>
          <cx:dataLabels pos="outEnd">
            <cx:visibility seriesName="0" categoryName="0" value="1"/>
          </cx:dataLabels>
          <cx:dataId val="1"/>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gradFill>
      <a:gsLst>
        <a:gs pos="60000">
          <a:schemeClr val="tx1">
            <a:lumMod val="85000"/>
            <a:lumOff val="15000"/>
          </a:schemeClr>
        </a:gs>
        <a:gs pos="100000">
          <a:schemeClr val="accent1">
            <a:lumMod val="45000"/>
            <a:lumOff val="55000"/>
          </a:schemeClr>
        </a:gs>
        <a:gs pos="100000">
          <a:schemeClr val="tx1">
            <a:lumMod val="65000"/>
            <a:lumOff val="35000"/>
          </a:schemeClr>
        </a:gs>
        <a:gs pos="100000">
          <a:schemeClr val="accent1">
            <a:lumMod val="30000"/>
            <a:lumOff val="70000"/>
          </a:schemeClr>
        </a:gs>
      </a:gsLst>
      <a:lin ang="5400000" scaled="1"/>
    </a:gradFill>
    <a:ln>
      <a:solidFill>
        <a:schemeClr val="tx1">
          <a:alpha val="97000"/>
        </a:schemeClr>
      </a:solidFill>
    </a:ln>
  </cx:spPr>
  <cx:fmtOvrs>
    <cx:fmtOvr idx="2">
      <cx:spPr>
        <a:solidFill>
          <a:srgbClr val="0070C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129540</xdr:rowOff>
    </xdr:from>
    <xdr:to>
      <xdr:col>9</xdr:col>
      <xdr:colOff>358140</xdr:colOff>
      <xdr:row>4</xdr:row>
      <xdr:rowOff>38100</xdr:rowOff>
    </xdr:to>
    <xdr:sp macro="" textlink="">
      <xdr:nvSpPr>
        <xdr:cNvPr id="2" name="TextBox 1">
          <a:extLst>
            <a:ext uri="{FF2B5EF4-FFF2-40B4-BE49-F238E27FC236}">
              <a16:creationId xmlns:a16="http://schemas.microsoft.com/office/drawing/2014/main" id="{5D914AA2-95C0-AA43-A31B-CEFF17775C7F}"/>
            </a:ext>
          </a:extLst>
        </xdr:cNvPr>
        <xdr:cNvSpPr txBox="1"/>
      </xdr:nvSpPr>
      <xdr:spPr>
        <a:xfrm>
          <a:off x="205740" y="129540"/>
          <a:ext cx="627126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u="sng">
              <a:latin typeface="Arial" panose="020B0604020202020204" pitchFamily="34" charset="0"/>
              <a:cs typeface="Arial" panose="020B0604020202020204" pitchFamily="34" charset="0"/>
            </a:rPr>
            <a:t>INDEX</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160020</xdr:colOff>
      <xdr:row>19</xdr:row>
      <xdr:rowOff>22860</xdr:rowOff>
    </xdr:to>
    <xdr:pic>
      <xdr:nvPicPr>
        <xdr:cNvPr id="3" name="Picture 2">
          <a:extLst>
            <a:ext uri="{FF2B5EF4-FFF2-40B4-BE49-F238E27FC236}">
              <a16:creationId xmlns:a16="http://schemas.microsoft.com/office/drawing/2014/main" id="{7CCA616A-CDEC-4F22-73DA-5D4A2AC21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650480" cy="3497580"/>
        </a:xfrm>
        <a:prstGeom prst="rect">
          <a:avLst/>
        </a:prstGeom>
      </xdr:spPr>
    </xdr:pic>
    <xdr:clientData/>
  </xdr:twoCellAnchor>
  <xdr:twoCellAnchor>
    <xdr:from>
      <xdr:col>2</xdr:col>
      <xdr:colOff>38100</xdr:colOff>
      <xdr:row>18</xdr:row>
      <xdr:rowOff>144780</xdr:rowOff>
    </xdr:from>
    <xdr:to>
      <xdr:col>14</xdr:col>
      <xdr:colOff>403860</xdr:colOff>
      <xdr:row>22</xdr:row>
      <xdr:rowOff>175260</xdr:rowOff>
    </xdr:to>
    <xdr:sp macro="" textlink="">
      <xdr:nvSpPr>
        <xdr:cNvPr id="4" name="TextBox 3">
          <a:extLst>
            <a:ext uri="{FF2B5EF4-FFF2-40B4-BE49-F238E27FC236}">
              <a16:creationId xmlns:a16="http://schemas.microsoft.com/office/drawing/2014/main" id="{D95870B2-3540-1C34-BEFC-58050CF014B0}"/>
            </a:ext>
          </a:extLst>
        </xdr:cNvPr>
        <xdr:cNvSpPr txBox="1"/>
      </xdr:nvSpPr>
      <xdr:spPr>
        <a:xfrm>
          <a:off x="2065020" y="3436620"/>
          <a:ext cx="76581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2060"/>
              </a:solidFill>
              <a:latin typeface="Arial" panose="020B0604020202020204" pitchFamily="34" charset="0"/>
              <a:cs typeface="Arial" panose="020B0604020202020204" pitchFamily="34" charset="0"/>
            </a:rPr>
            <a:t>Britannia Financial Model And</a:t>
          </a:r>
          <a:r>
            <a:rPr lang="en-IN" sz="1800" b="1" baseline="0">
              <a:solidFill>
                <a:srgbClr val="002060"/>
              </a:solidFill>
              <a:latin typeface="Arial" panose="020B0604020202020204" pitchFamily="34" charset="0"/>
              <a:cs typeface="Arial" panose="020B0604020202020204" pitchFamily="34" charset="0"/>
            </a:rPr>
            <a:t> Forecast</a:t>
          </a:r>
        </a:p>
        <a:p>
          <a:endParaRPr lang="en-IN" sz="1100"/>
        </a:p>
      </xdr:txBody>
    </xdr:sp>
    <xdr:clientData/>
  </xdr:twoCellAnchor>
  <xdr:twoCellAnchor>
    <xdr:from>
      <xdr:col>11</xdr:col>
      <xdr:colOff>396240</xdr:colOff>
      <xdr:row>1</xdr:row>
      <xdr:rowOff>129540</xdr:rowOff>
    </xdr:from>
    <xdr:to>
      <xdr:col>20</xdr:col>
      <xdr:colOff>365760</xdr:colOff>
      <xdr:row>22</xdr:row>
      <xdr:rowOff>76200</xdr:rowOff>
    </xdr:to>
    <xdr:sp macro="" textlink="">
      <xdr:nvSpPr>
        <xdr:cNvPr id="5" name="TextBox 4">
          <a:extLst>
            <a:ext uri="{FF2B5EF4-FFF2-40B4-BE49-F238E27FC236}">
              <a16:creationId xmlns:a16="http://schemas.microsoft.com/office/drawing/2014/main" id="{E1B025AA-165A-451F-FF45-AF15E8956B6A}"/>
            </a:ext>
          </a:extLst>
        </xdr:cNvPr>
        <xdr:cNvSpPr txBox="1"/>
      </xdr:nvSpPr>
      <xdr:spPr>
        <a:xfrm>
          <a:off x="7886700" y="312420"/>
          <a:ext cx="5455920" cy="3787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2060"/>
              </a:solidFill>
              <a:latin typeface="Arial" panose="020B0604020202020204" pitchFamily="34" charset="0"/>
              <a:cs typeface="Arial" panose="020B0604020202020204" pitchFamily="34" charset="0"/>
            </a:rPr>
            <a:t>Britannia Industries Limited is one of India’s leading food and beverage companies, best known for its extensive range of biscuits, dairy products, and bakery items. Established in 1892 and headquartered in Kolkata, Britannia has grown into a household name, with an extensive distribution network spanning domestic and international markets. The company operates in more than 60 countries, with a strong presence in South Asia, the Middle East, and Africa.</a:t>
          </a:r>
        </a:p>
        <a:p>
          <a:r>
            <a:rPr lang="en-IN" sz="1200" b="1">
              <a:solidFill>
                <a:srgbClr val="002060"/>
              </a:solidFill>
              <a:latin typeface="Arial" panose="020B0604020202020204" pitchFamily="34" charset="0"/>
              <a:cs typeface="Arial" panose="020B0604020202020204" pitchFamily="34" charset="0"/>
            </a:rPr>
            <a:t>With a legacy of over a century, Britannia has consistently focused on innovation, product diversification, and consumer-driven growth. Its portfolio includes iconic brands such as Good Day, Marie Gold, Bourbon, and NutriChoice, catering to a wide consumer base. The company has also expanded into adjacent categories like dairy, bread, and cakes, reinforcing its position in the FMCG sector.</a:t>
          </a:r>
        </a:p>
        <a:p>
          <a:r>
            <a:rPr lang="en-IN" sz="1200" b="1">
              <a:solidFill>
                <a:srgbClr val="002060"/>
              </a:solidFill>
              <a:latin typeface="Arial" panose="020B0604020202020204" pitchFamily="34" charset="0"/>
              <a:cs typeface="Arial" panose="020B0604020202020204" pitchFamily="34" charset="0"/>
            </a:rPr>
            <a:t>Driven by a strong financial foundation, continuous product innovation, and robust brand equity, Britannia remains a key player in India’s fast-growing packaged foods industry. The company’s strategic initiatives in supply chain optimization, cost efficiency, and sustainability further strengthen its long-term growth prospects.</a:t>
          </a:r>
        </a:p>
        <a:p>
          <a:endParaRPr lang="en-IN" sz="1200" b="1">
            <a:solidFill>
              <a:srgbClr val="002060"/>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396240</xdr:colOff>
      <xdr:row>3</xdr:row>
      <xdr:rowOff>53340</xdr:rowOff>
    </xdr:from>
    <xdr:to>
      <xdr:col>13</xdr:col>
      <xdr:colOff>198120</xdr:colOff>
      <xdr:row>16</xdr:row>
      <xdr:rowOff>121920</xdr:rowOff>
    </xdr:to>
    <xdr:sp macro="" textlink="">
      <xdr:nvSpPr>
        <xdr:cNvPr id="2" name="TextBox 1">
          <a:extLst>
            <a:ext uri="{FF2B5EF4-FFF2-40B4-BE49-F238E27FC236}">
              <a16:creationId xmlns:a16="http://schemas.microsoft.com/office/drawing/2014/main" id="{F609708F-BD69-5CBA-889A-D36EC2B3067C}"/>
            </a:ext>
          </a:extLst>
        </xdr:cNvPr>
        <xdr:cNvSpPr txBox="1"/>
      </xdr:nvSpPr>
      <xdr:spPr>
        <a:xfrm>
          <a:off x="396240" y="601980"/>
          <a:ext cx="7726680" cy="2446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t>Peer Comparison</a:t>
          </a:r>
          <a:r>
            <a:rPr lang="en-IN" sz="5400" baseline="0"/>
            <a:t> For britannia </a:t>
          </a:r>
        </a:p>
        <a:p>
          <a:endParaRPr lang="en-IN" sz="1100"/>
        </a:p>
      </xdr:txBody>
    </xdr:sp>
    <xdr:clientData/>
  </xdr:twoCellAnchor>
  <xdr:twoCellAnchor>
    <xdr:from>
      <xdr:col>10</xdr:col>
      <xdr:colOff>518160</xdr:colOff>
      <xdr:row>6</xdr:row>
      <xdr:rowOff>60960</xdr:rowOff>
    </xdr:from>
    <xdr:to>
      <xdr:col>18</xdr:col>
      <xdr:colOff>190500</xdr:colOff>
      <xdr:row>10</xdr:row>
      <xdr:rowOff>15240</xdr:rowOff>
    </xdr:to>
    <xdr:sp macro="" textlink="">
      <xdr:nvSpPr>
        <xdr:cNvPr id="3" name="Arrow: Right 2">
          <a:extLst>
            <a:ext uri="{FF2B5EF4-FFF2-40B4-BE49-F238E27FC236}">
              <a16:creationId xmlns:a16="http://schemas.microsoft.com/office/drawing/2014/main" id="{E6A12B5B-16CB-EE5A-11D6-6F3CD9C03350}"/>
            </a:ext>
          </a:extLst>
        </xdr:cNvPr>
        <xdr:cNvSpPr/>
      </xdr:nvSpPr>
      <xdr:spPr>
        <a:xfrm>
          <a:off x="6614160" y="1158240"/>
          <a:ext cx="4549140" cy="685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8659</xdr:colOff>
      <xdr:row>2</xdr:row>
      <xdr:rowOff>129540</xdr:rowOff>
    </xdr:from>
    <xdr:to>
      <xdr:col>6</xdr:col>
      <xdr:colOff>372341</xdr:colOff>
      <xdr:row>16</xdr:row>
      <xdr:rowOff>172402</xdr:rowOff>
    </xdr:to>
    <xdr:graphicFrame macro="">
      <xdr:nvGraphicFramePr>
        <xdr:cNvPr id="2" name="Chart 1">
          <a:extLst>
            <a:ext uri="{FF2B5EF4-FFF2-40B4-BE49-F238E27FC236}">
              <a16:creationId xmlns:a16="http://schemas.microsoft.com/office/drawing/2014/main" id="{BFB22757-CC64-475B-B433-351A06811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545524</xdr:colOff>
      <xdr:row>2</xdr:row>
      <xdr:rowOff>121920</xdr:rowOff>
    </xdr:from>
    <xdr:to>
      <xdr:col>15</xdr:col>
      <xdr:colOff>15242</xdr:colOff>
      <xdr:row>16</xdr:row>
      <xdr:rowOff>176530</xdr:rowOff>
    </xdr:to>
    <xdr:graphicFrame macro="">
      <xdr:nvGraphicFramePr>
        <xdr:cNvPr id="3" name="Chart 2">
          <a:extLst>
            <a:ext uri="{FF2B5EF4-FFF2-40B4-BE49-F238E27FC236}">
              <a16:creationId xmlns:a16="http://schemas.microsoft.com/office/drawing/2014/main" id="{EF2D9968-AD2D-44C5-B1AF-80E86D46B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9961</xdr:colOff>
      <xdr:row>17</xdr:row>
      <xdr:rowOff>31750</xdr:rowOff>
    </xdr:from>
    <xdr:to>
      <xdr:col>15</xdr:col>
      <xdr:colOff>15875</xdr:colOff>
      <xdr:row>36</xdr:row>
      <xdr:rowOff>63500</xdr:rowOff>
    </xdr:to>
    <xdr:graphicFrame macro="">
      <xdr:nvGraphicFramePr>
        <xdr:cNvPr id="7" name="Chart 6">
          <a:extLst>
            <a:ext uri="{FF2B5EF4-FFF2-40B4-BE49-F238E27FC236}">
              <a16:creationId xmlns:a16="http://schemas.microsoft.com/office/drawing/2014/main" id="{1ADEAAD9-5B5A-47BD-B914-87F1C988D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20876</xdr:colOff>
      <xdr:row>36</xdr:row>
      <xdr:rowOff>174307</xdr:rowOff>
    </xdr:from>
    <xdr:to>
      <xdr:col>15</xdr:col>
      <xdr:colOff>15241</xdr:colOff>
      <xdr:row>52</xdr:row>
      <xdr:rowOff>134620</xdr:rowOff>
    </xdr:to>
    <xdr:graphicFrame macro="">
      <xdr:nvGraphicFramePr>
        <xdr:cNvPr id="4" name="Chart 3">
          <a:extLst>
            <a:ext uri="{FF2B5EF4-FFF2-40B4-BE49-F238E27FC236}">
              <a16:creationId xmlns:a16="http://schemas.microsoft.com/office/drawing/2014/main" id="{01089B46-9A32-43B9-8F84-05A4EF8C7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5482</xdr:colOff>
      <xdr:row>37</xdr:row>
      <xdr:rowOff>1271</xdr:rowOff>
    </xdr:from>
    <xdr:to>
      <xdr:col>6</xdr:col>
      <xdr:colOff>448849</xdr:colOff>
      <xdr:row>52</xdr:row>
      <xdr:rowOff>144146</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41B9117-21A3-4B1E-A13C-BE12097F2F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5022" y="6783071"/>
              <a:ext cx="5015367" cy="28860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7620</xdr:colOff>
      <xdr:row>53</xdr:row>
      <xdr:rowOff>83822</xdr:rowOff>
    </xdr:from>
    <xdr:to>
      <xdr:col>8</xdr:col>
      <xdr:colOff>379928</xdr:colOff>
      <xdr:row>69</xdr:row>
      <xdr:rowOff>132716</xdr:rowOff>
    </xdr:to>
    <xdr:graphicFrame macro="">
      <xdr:nvGraphicFramePr>
        <xdr:cNvPr id="9" name="Chart 8">
          <a:extLst>
            <a:ext uri="{FF2B5EF4-FFF2-40B4-BE49-F238E27FC236}">
              <a16:creationId xmlns:a16="http://schemas.microsoft.com/office/drawing/2014/main" id="{E3D06707-5E1F-46C4-996A-7DB2C3CFF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554355</xdr:colOff>
      <xdr:row>43</xdr:row>
      <xdr:rowOff>97155</xdr:rowOff>
    </xdr:from>
    <xdr:to>
      <xdr:col>9</xdr:col>
      <xdr:colOff>79693</xdr:colOff>
      <xdr:row>44</xdr:row>
      <xdr:rowOff>113030</xdr:rowOff>
    </xdr:to>
    <xdr:sp macro="" textlink="">
      <xdr:nvSpPr>
        <xdr:cNvPr id="10" name="TextBox 9">
          <a:extLst>
            <a:ext uri="{FF2B5EF4-FFF2-40B4-BE49-F238E27FC236}">
              <a16:creationId xmlns:a16="http://schemas.microsoft.com/office/drawing/2014/main" id="{04B60402-070C-41A8-4CB7-D86D4530664F}"/>
            </a:ext>
          </a:extLst>
        </xdr:cNvPr>
        <xdr:cNvSpPr txBox="1"/>
      </xdr:nvSpPr>
      <xdr:spPr>
        <a:xfrm>
          <a:off x="5865495" y="7976235"/>
          <a:ext cx="744538" cy="19875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bg1"/>
              </a:solidFill>
            </a:rPr>
            <a:t>40529 Cr.</a:t>
          </a:r>
          <a:r>
            <a:rPr lang="en-IN" sz="1100" b="1" baseline="0">
              <a:solidFill>
                <a:schemeClr val="bg1"/>
              </a:solidFill>
            </a:rPr>
            <a:t> </a:t>
          </a:r>
          <a:endParaRPr lang="en-IN" sz="1100" b="1">
            <a:solidFill>
              <a:schemeClr val="bg1"/>
            </a:solidFill>
          </a:endParaRPr>
        </a:p>
      </xdr:txBody>
    </xdr:sp>
    <xdr:clientData/>
  </xdr:twoCellAnchor>
  <xdr:twoCellAnchor>
    <xdr:from>
      <xdr:col>7</xdr:col>
      <xdr:colOff>284163</xdr:colOff>
      <xdr:row>41</xdr:row>
      <xdr:rowOff>174624</xdr:rowOff>
    </xdr:from>
    <xdr:to>
      <xdr:col>9</xdr:col>
      <xdr:colOff>379414</xdr:colOff>
      <xdr:row>43</xdr:row>
      <xdr:rowOff>71437</xdr:rowOff>
    </xdr:to>
    <xdr:sp macro="" textlink="">
      <xdr:nvSpPr>
        <xdr:cNvPr id="11" name="TextBox 10">
          <a:extLst>
            <a:ext uri="{FF2B5EF4-FFF2-40B4-BE49-F238E27FC236}">
              <a16:creationId xmlns:a16="http://schemas.microsoft.com/office/drawing/2014/main" id="{A75A5D77-ECBD-98F9-2678-302CBAF3139C}"/>
            </a:ext>
          </a:extLst>
        </xdr:cNvPr>
        <xdr:cNvSpPr txBox="1"/>
      </xdr:nvSpPr>
      <xdr:spPr>
        <a:xfrm>
          <a:off x="5595303" y="7687944"/>
          <a:ext cx="1314451" cy="26257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 Market Share</a:t>
          </a:r>
        </a:p>
        <a:p>
          <a:endParaRPr lang="en-IN" sz="1100" b="1">
            <a:solidFill>
              <a:schemeClr val="bg1"/>
            </a:solidFill>
          </a:endParaRPr>
        </a:p>
      </xdr:txBody>
    </xdr:sp>
    <xdr:clientData/>
  </xdr:twoCellAnchor>
  <xdr:twoCellAnchor>
    <xdr:from>
      <xdr:col>6</xdr:col>
      <xdr:colOff>386025</xdr:colOff>
      <xdr:row>53</xdr:row>
      <xdr:rowOff>83820</xdr:rowOff>
    </xdr:from>
    <xdr:to>
      <xdr:col>15</xdr:col>
      <xdr:colOff>15240</xdr:colOff>
      <xdr:row>69</xdr:row>
      <xdr:rowOff>132714</xdr:rowOff>
    </xdr:to>
    <xdr:graphicFrame macro="">
      <xdr:nvGraphicFramePr>
        <xdr:cNvPr id="12" name="Chart 11">
          <a:extLst>
            <a:ext uri="{FF2B5EF4-FFF2-40B4-BE49-F238E27FC236}">
              <a16:creationId xmlns:a16="http://schemas.microsoft.com/office/drawing/2014/main" id="{95DCDEDB-84E7-46C0-8496-8C5720732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7620</xdr:colOff>
      <xdr:row>70</xdr:row>
      <xdr:rowOff>121920</xdr:rowOff>
    </xdr:from>
    <xdr:to>
      <xdr:col>6</xdr:col>
      <xdr:colOff>563879</xdr:colOff>
      <xdr:row>89</xdr:row>
      <xdr:rowOff>3811</xdr:rowOff>
    </xdr:to>
    <xdr:graphicFrame macro="">
      <xdr:nvGraphicFramePr>
        <xdr:cNvPr id="6" name="Chart 5">
          <a:extLst>
            <a:ext uri="{FF2B5EF4-FFF2-40B4-BE49-F238E27FC236}">
              <a16:creationId xmlns:a16="http://schemas.microsoft.com/office/drawing/2014/main" id="{9171D4C0-CD3E-406F-A9F5-E2CEC8217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386366</xdr:colOff>
      <xdr:row>70</xdr:row>
      <xdr:rowOff>121920</xdr:rowOff>
    </xdr:from>
    <xdr:to>
      <xdr:col>15</xdr:col>
      <xdr:colOff>0</xdr:colOff>
      <xdr:row>89</xdr:row>
      <xdr:rowOff>1905</xdr:rowOff>
    </xdr:to>
    <xdr:graphicFrame macro="">
      <xdr:nvGraphicFramePr>
        <xdr:cNvPr id="8" name="Chart 7">
          <a:extLst>
            <a:ext uri="{FF2B5EF4-FFF2-40B4-BE49-F238E27FC236}">
              <a16:creationId xmlns:a16="http://schemas.microsoft.com/office/drawing/2014/main" id="{1BC2FA39-138A-4CD5-A706-8B7603FA1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320040</xdr:colOff>
      <xdr:row>4</xdr:row>
      <xdr:rowOff>121920</xdr:rowOff>
    </xdr:from>
    <xdr:to>
      <xdr:col>15</xdr:col>
      <xdr:colOff>419100</xdr:colOff>
      <xdr:row>20</xdr:row>
      <xdr:rowOff>167640</xdr:rowOff>
    </xdr:to>
    <xdr:sp macro="" textlink="">
      <xdr:nvSpPr>
        <xdr:cNvPr id="2" name="TextBox 1">
          <a:extLst>
            <a:ext uri="{FF2B5EF4-FFF2-40B4-BE49-F238E27FC236}">
              <a16:creationId xmlns:a16="http://schemas.microsoft.com/office/drawing/2014/main" id="{7F5E7705-48FC-4C36-4275-BF07EE973608}"/>
            </a:ext>
          </a:extLst>
        </xdr:cNvPr>
        <xdr:cNvSpPr txBox="1"/>
      </xdr:nvSpPr>
      <xdr:spPr>
        <a:xfrm>
          <a:off x="320040" y="853440"/>
          <a:ext cx="9243060" cy="297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latin typeface="Arial" panose="020B0604020202020204" pitchFamily="34" charset="0"/>
              <a:cs typeface="Arial" panose="020B0604020202020204" pitchFamily="34" charset="0"/>
            </a:rPr>
            <a:t>FORECAST FROM 2025-29</a:t>
          </a:r>
        </a:p>
        <a:p>
          <a:endParaRPr lang="en-IN" sz="1100"/>
        </a:p>
      </xdr:txBody>
    </xdr:sp>
    <xdr:clientData/>
  </xdr:twoCellAnchor>
  <xdr:twoCellAnchor>
    <xdr:from>
      <xdr:col>15</xdr:col>
      <xdr:colOff>213360</xdr:colOff>
      <xdr:row>5</xdr:row>
      <xdr:rowOff>114300</xdr:rowOff>
    </xdr:from>
    <xdr:to>
      <xdr:col>19</xdr:col>
      <xdr:colOff>556260</xdr:colOff>
      <xdr:row>8</xdr:row>
      <xdr:rowOff>76200</xdr:rowOff>
    </xdr:to>
    <xdr:sp macro="" textlink="">
      <xdr:nvSpPr>
        <xdr:cNvPr id="3" name="Arrow: Right 2">
          <a:extLst>
            <a:ext uri="{FF2B5EF4-FFF2-40B4-BE49-F238E27FC236}">
              <a16:creationId xmlns:a16="http://schemas.microsoft.com/office/drawing/2014/main" id="{58A4B3D6-DF2E-9AD3-DE97-5436D4A95B5D}"/>
            </a:ext>
          </a:extLst>
        </xdr:cNvPr>
        <xdr:cNvSpPr/>
      </xdr:nvSpPr>
      <xdr:spPr>
        <a:xfrm>
          <a:off x="9357360" y="1028700"/>
          <a:ext cx="2781300" cy="5105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149087</xdr:colOff>
      <xdr:row>0</xdr:row>
      <xdr:rowOff>107673</xdr:rowOff>
    </xdr:from>
    <xdr:to>
      <xdr:col>6</xdr:col>
      <xdr:colOff>256761</xdr:colOff>
      <xdr:row>3</xdr:row>
      <xdr:rowOff>157368</xdr:rowOff>
    </xdr:to>
    <xdr:sp macro="" textlink="">
      <xdr:nvSpPr>
        <xdr:cNvPr id="3" name="TextBox 2">
          <a:extLst>
            <a:ext uri="{FF2B5EF4-FFF2-40B4-BE49-F238E27FC236}">
              <a16:creationId xmlns:a16="http://schemas.microsoft.com/office/drawing/2014/main" id="{256D95F9-9C95-4CED-8E8D-7265786E729F}"/>
            </a:ext>
          </a:extLst>
        </xdr:cNvPr>
        <xdr:cNvSpPr txBox="1"/>
      </xdr:nvSpPr>
      <xdr:spPr>
        <a:xfrm>
          <a:off x="5615609" y="107673"/>
          <a:ext cx="1929848" cy="670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1 = Best Case Scenario</a:t>
          </a:r>
          <a:br>
            <a:rPr lang="en-IN" sz="1100" b="1"/>
          </a:br>
          <a:r>
            <a:rPr lang="en-IN" sz="1100" b="1"/>
            <a:t>2</a:t>
          </a:r>
          <a:r>
            <a:rPr lang="en-IN" sz="1100" b="1" baseline="0"/>
            <a:t> = Base Case Scenario</a:t>
          </a:r>
        </a:p>
        <a:p>
          <a:r>
            <a:rPr lang="en-IN" sz="1100" b="1" baseline="0"/>
            <a:t>3 = Worst Case Scenario</a:t>
          </a:r>
          <a:endParaRPr lang="en-IN" sz="1100" b="1"/>
        </a:p>
      </xdr:txBody>
    </xdr:sp>
    <xdr:clientData/>
  </xdr:twoCellAnchor>
  <xdr:twoCellAnchor>
    <xdr:from>
      <xdr:col>3</xdr:col>
      <xdr:colOff>165652</xdr:colOff>
      <xdr:row>0</xdr:row>
      <xdr:rowOff>173935</xdr:rowOff>
    </xdr:from>
    <xdr:to>
      <xdr:col>5</xdr:col>
      <xdr:colOff>66261</xdr:colOff>
      <xdr:row>3</xdr:row>
      <xdr:rowOff>82826</xdr:rowOff>
    </xdr:to>
    <xdr:sp macro="" textlink="">
      <xdr:nvSpPr>
        <xdr:cNvPr id="4" name="Rectangle 3">
          <a:extLst>
            <a:ext uri="{FF2B5EF4-FFF2-40B4-BE49-F238E27FC236}">
              <a16:creationId xmlns:a16="http://schemas.microsoft.com/office/drawing/2014/main" id="{2C980F16-9B75-2D77-B187-52A55F466CD9}"/>
            </a:ext>
          </a:extLst>
        </xdr:cNvPr>
        <xdr:cNvSpPr/>
      </xdr:nvSpPr>
      <xdr:spPr>
        <a:xfrm>
          <a:off x="5632174" y="173935"/>
          <a:ext cx="1524000" cy="530087"/>
        </a:xfrm>
        <a:prstGeom prst="rect">
          <a:avLst/>
        </a:prstGeom>
        <a:solidFill>
          <a:srgbClr val="002060">
            <a:alpha val="3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342900</xdr:colOff>
      <xdr:row>2</xdr:row>
      <xdr:rowOff>160020</xdr:rowOff>
    </xdr:from>
    <xdr:to>
      <xdr:col>14</xdr:col>
      <xdr:colOff>601980</xdr:colOff>
      <xdr:row>14</xdr:row>
      <xdr:rowOff>7620</xdr:rowOff>
    </xdr:to>
    <xdr:sp macro="" textlink="">
      <xdr:nvSpPr>
        <xdr:cNvPr id="2" name="TextBox 1">
          <a:extLst>
            <a:ext uri="{FF2B5EF4-FFF2-40B4-BE49-F238E27FC236}">
              <a16:creationId xmlns:a16="http://schemas.microsoft.com/office/drawing/2014/main" id="{0B63B7DE-4EBE-5CF4-A51F-5F130461F3A7}"/>
            </a:ext>
          </a:extLst>
        </xdr:cNvPr>
        <xdr:cNvSpPr txBox="1"/>
      </xdr:nvSpPr>
      <xdr:spPr>
        <a:xfrm>
          <a:off x="472440" y="541020"/>
          <a:ext cx="8183880" cy="2042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latin typeface="Arial" panose="020B0604020202020204" pitchFamily="34" charset="0"/>
              <a:cs typeface="Arial" panose="020B0604020202020204" pitchFamily="34" charset="0"/>
            </a:rPr>
            <a:t>CHARTS</a:t>
          </a:r>
          <a:r>
            <a:rPr lang="en-IN" sz="1100"/>
            <a:t> </a:t>
          </a:r>
        </a:p>
        <a:p>
          <a:endParaRPr lang="en-IN" sz="1100"/>
        </a:p>
      </xdr:txBody>
    </xdr:sp>
    <xdr:clientData/>
  </xdr:twoCellAnchor>
  <xdr:twoCellAnchor>
    <xdr:from>
      <xdr:col>6</xdr:col>
      <xdr:colOff>594360</xdr:colOff>
      <xdr:row>4</xdr:row>
      <xdr:rowOff>30480</xdr:rowOff>
    </xdr:from>
    <xdr:to>
      <xdr:col>13</xdr:col>
      <xdr:colOff>167640</xdr:colOff>
      <xdr:row>6</xdr:row>
      <xdr:rowOff>68580</xdr:rowOff>
    </xdr:to>
    <xdr:sp macro="" textlink="">
      <xdr:nvSpPr>
        <xdr:cNvPr id="3" name="Arrow: Right 2">
          <a:extLst>
            <a:ext uri="{FF2B5EF4-FFF2-40B4-BE49-F238E27FC236}">
              <a16:creationId xmlns:a16="http://schemas.microsoft.com/office/drawing/2014/main" id="{451D5016-8082-5C64-AC69-F58544CC2303}"/>
            </a:ext>
          </a:extLst>
        </xdr:cNvPr>
        <xdr:cNvSpPr/>
      </xdr:nvSpPr>
      <xdr:spPr>
        <a:xfrm>
          <a:off x="3771900" y="777240"/>
          <a:ext cx="3840480" cy="4038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320040</xdr:colOff>
      <xdr:row>7</xdr:row>
      <xdr:rowOff>121920</xdr:rowOff>
    </xdr:from>
    <xdr:to>
      <xdr:col>13</xdr:col>
      <xdr:colOff>579120</xdr:colOff>
      <xdr:row>29</xdr:row>
      <xdr:rowOff>99060</xdr:rowOff>
    </xdr:to>
    <xdr:graphicFrame macro="">
      <xdr:nvGraphicFramePr>
        <xdr:cNvPr id="2" name="Chart 1">
          <a:extLst>
            <a:ext uri="{FF2B5EF4-FFF2-40B4-BE49-F238E27FC236}">
              <a16:creationId xmlns:a16="http://schemas.microsoft.com/office/drawing/2014/main" id="{D4740691-EF73-B3AF-0392-B050D8258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1211580</xdr:colOff>
      <xdr:row>9</xdr:row>
      <xdr:rowOff>121920</xdr:rowOff>
    </xdr:from>
    <xdr:to>
      <xdr:col>3</xdr:col>
      <xdr:colOff>76200</xdr:colOff>
      <xdr:row>11</xdr:row>
      <xdr:rowOff>22860</xdr:rowOff>
    </xdr:to>
    <xdr:sp macro="" textlink="">
      <xdr:nvSpPr>
        <xdr:cNvPr id="6" name="TextBox 5">
          <a:extLst>
            <a:ext uri="{FF2B5EF4-FFF2-40B4-BE49-F238E27FC236}">
              <a16:creationId xmlns:a16="http://schemas.microsoft.com/office/drawing/2014/main" id="{98AD9A96-41D6-D051-5916-4CB8435972E1}"/>
            </a:ext>
          </a:extLst>
        </xdr:cNvPr>
        <xdr:cNvSpPr txBox="1"/>
      </xdr:nvSpPr>
      <xdr:spPr>
        <a:xfrm>
          <a:off x="1341120" y="1813560"/>
          <a:ext cx="1889760" cy="2667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HISTORICAL</a:t>
          </a:r>
        </a:p>
      </xdr:txBody>
    </xdr:sp>
    <xdr:clientData/>
  </xdr:twoCellAnchor>
  <xdr:twoCellAnchor>
    <xdr:from>
      <xdr:col>4</xdr:col>
      <xdr:colOff>548640</xdr:colOff>
      <xdr:row>9</xdr:row>
      <xdr:rowOff>129540</xdr:rowOff>
    </xdr:from>
    <xdr:to>
      <xdr:col>10</xdr:col>
      <xdr:colOff>99060</xdr:colOff>
      <xdr:row>11</xdr:row>
      <xdr:rowOff>15240</xdr:rowOff>
    </xdr:to>
    <xdr:sp macro="" textlink="">
      <xdr:nvSpPr>
        <xdr:cNvPr id="7" name="TextBox 6">
          <a:extLst>
            <a:ext uri="{FF2B5EF4-FFF2-40B4-BE49-F238E27FC236}">
              <a16:creationId xmlns:a16="http://schemas.microsoft.com/office/drawing/2014/main" id="{7E35D400-56B5-B067-D83C-EB756B5E8007}"/>
            </a:ext>
          </a:extLst>
        </xdr:cNvPr>
        <xdr:cNvSpPr txBox="1"/>
      </xdr:nvSpPr>
      <xdr:spPr>
        <a:xfrm>
          <a:off x="4518660" y="1821180"/>
          <a:ext cx="3787140" cy="25146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FORECASTED</a:t>
          </a:r>
        </a:p>
      </xdr:txBody>
    </xdr:sp>
    <xdr:clientData/>
  </xdr:twoCellAnchor>
  <xdr:twoCellAnchor editAs="oneCell">
    <xdr:from>
      <xdr:col>3</xdr:col>
      <xdr:colOff>685800</xdr:colOff>
      <xdr:row>10</xdr:row>
      <xdr:rowOff>60961</xdr:rowOff>
    </xdr:from>
    <xdr:to>
      <xdr:col>7</xdr:col>
      <xdr:colOff>775084</xdr:colOff>
      <xdr:row>22</xdr:row>
      <xdr:rowOff>30481</xdr:rowOff>
    </xdr:to>
    <xdr:pic>
      <xdr:nvPicPr>
        <xdr:cNvPr id="3" name="Picture 2">
          <a:extLst>
            <a:ext uri="{FF2B5EF4-FFF2-40B4-BE49-F238E27FC236}">
              <a16:creationId xmlns:a16="http://schemas.microsoft.com/office/drawing/2014/main" id="{BC1889AF-F73D-483A-878D-5E07285374D7}"/>
            </a:ext>
          </a:extLst>
        </xdr:cNvPr>
        <xdr:cNvPicPr>
          <a:picLocks noChangeAspect="1"/>
        </xdr:cNvPicPr>
      </xdr:nvPicPr>
      <xdr:blipFill rotWithShape="1">
        <a:blip xmlns:r="http://schemas.openxmlformats.org/officeDocument/2006/relationships" r:embed="rId2">
          <a:alphaModFix amt="30000"/>
          <a:extLst>
            <a:ext uri="{BEBA8EAE-BF5A-486C-A8C5-ECC9F3942E4B}">
              <a14:imgProps xmlns:a14="http://schemas.microsoft.com/office/drawing/2010/main">
                <a14:imgLayer r:embed="rId3">
                  <a14:imgEffect>
                    <a14:backgroundRemoval t="5000" b="90000" l="55459" r="94978">
                      <a14:foregroundMark x1="51965" y1="2222" x2="52491" y2="2468"/>
                      <a14:foregroundMark x1="61790" y1="39444" x2="64410" y2="58889"/>
                      <a14:foregroundMark x1="56987" y1="42222" x2="70306" y2="36667"/>
                      <a14:foregroundMark x1="70306" y1="36667" x2="91703" y2="41667"/>
                      <a14:foregroundMark x1="91703" y1="41667" x2="83843" y2="61111"/>
                      <a14:foregroundMark x1="83843" y1="61111" x2="72489" y2="66667"/>
                      <a14:foregroundMark x1="72489" y1="66667" x2="58297" y2="58333"/>
                      <a14:foregroundMark x1="58297" y1="58333" x2="56987" y2="43889"/>
                      <a14:foregroundMark x1="84498" y1="37222" x2="91048" y2="38889"/>
                      <a14:backgroundMark x1="54148" y1="6667" x2="62009" y2="6111"/>
                      <a14:backgroundMark x1="92163" y1="39937" x2="92358" y2="40000"/>
                      <a14:backgroundMark x1="92358" y1="40000" x2="91837" y2="41940"/>
                      <a14:backgroundMark x1="85152" y1="63775" x2="84714" y2="64174"/>
                      <a14:backgroundMark x1="74277" y1="72950" x2="73751" y2="72439"/>
                      <a14:backgroundMark x1="60550" y1="31474" x2="58734" y2="5556"/>
                      <a14:backgroundMark x1="58734" y1="5556" x2="56114" y2="4444"/>
                      <a14:backgroundMark x1="62882" y1="8333" x2="62882" y2="8333"/>
                      <a14:backgroundMark x1="62664" y1="8333" x2="54585" y2="5556"/>
                      <a14:backgroundMark x1="54148" y1="3889" x2="54148" y2="6111"/>
                      <a14:backgroundMark x1="63974" y1="9444" x2="60917" y2="10000"/>
                      <a14:backgroundMark x1="52183" y1="3889" x2="54803" y2="2222"/>
                      <a14:backgroundMark x1="57424" y1="38889" x2="57762" y2="38803"/>
                      <a14:backgroundMark x1="56332" y1="41667" x2="56114" y2="45556"/>
                    </a14:backgroundRemoval>
                  </a14:imgEffect>
                  <a14:imgEffect>
                    <a14:colorTemperature colorTemp="6503"/>
                  </a14:imgEffect>
                </a14:imgLayer>
              </a14:imgProps>
            </a:ext>
            <a:ext uri="{28A0092B-C50C-407E-A947-70E740481C1C}">
              <a14:useLocalDpi xmlns:a14="http://schemas.microsoft.com/office/drawing/2010/main" val="0"/>
            </a:ext>
          </a:extLst>
        </a:blip>
        <a:srcRect l="51354"/>
        <a:stretch/>
      </xdr:blipFill>
      <xdr:spPr>
        <a:xfrm>
          <a:off x="3840480" y="1935481"/>
          <a:ext cx="2695324" cy="21640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175259</xdr:colOff>
      <xdr:row>11</xdr:row>
      <xdr:rowOff>110490</xdr:rowOff>
    </xdr:from>
    <xdr:to>
      <xdr:col>13</xdr:col>
      <xdr:colOff>532579</xdr:colOff>
      <xdr:row>34</xdr:row>
      <xdr:rowOff>163871</xdr:rowOff>
    </xdr:to>
    <xdr:graphicFrame macro="">
      <xdr:nvGraphicFramePr>
        <xdr:cNvPr id="2" name="Chart 1">
          <a:extLst>
            <a:ext uri="{FF2B5EF4-FFF2-40B4-BE49-F238E27FC236}">
              <a16:creationId xmlns:a16="http://schemas.microsoft.com/office/drawing/2014/main" id="{6AC272E6-0501-F7D3-FBFA-64FCA80B8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2051538</xdr:colOff>
      <xdr:row>9</xdr:row>
      <xdr:rowOff>57765</xdr:rowOff>
    </xdr:from>
    <xdr:to>
      <xdr:col>7</xdr:col>
      <xdr:colOff>361462</xdr:colOff>
      <xdr:row>22</xdr:row>
      <xdr:rowOff>162604</xdr:rowOff>
    </xdr:to>
    <xdr:pic>
      <xdr:nvPicPr>
        <xdr:cNvPr id="3" name="Picture 2">
          <a:extLst>
            <a:ext uri="{FF2B5EF4-FFF2-40B4-BE49-F238E27FC236}">
              <a16:creationId xmlns:a16="http://schemas.microsoft.com/office/drawing/2014/main" id="{1129B0D0-FEA7-12CA-587C-F3FD5A1B1087}"/>
            </a:ext>
          </a:extLst>
        </xdr:cNvPr>
        <xdr:cNvPicPr>
          <a:picLocks noChangeAspect="1"/>
        </xdr:cNvPicPr>
      </xdr:nvPicPr>
      <xdr:blipFill rotWithShape="1">
        <a:blip xmlns:r="http://schemas.openxmlformats.org/officeDocument/2006/relationships" r:embed="rId2">
          <a:alphaModFix amt="30000"/>
          <a:extLst>
            <a:ext uri="{BEBA8EAE-BF5A-486C-A8C5-ECC9F3942E4B}">
              <a14:imgProps xmlns:a14="http://schemas.microsoft.com/office/drawing/2010/main">
                <a14:imgLayer r:embed="rId3">
                  <a14:imgEffect>
                    <a14:backgroundRemoval t="5000" b="90000" l="55459" r="94978">
                      <a14:foregroundMark x1="51965" y1="2222" x2="52491" y2="2468"/>
                      <a14:foregroundMark x1="61790" y1="39444" x2="64410" y2="58889"/>
                      <a14:foregroundMark x1="56987" y1="42222" x2="70306" y2="36667"/>
                      <a14:foregroundMark x1="70306" y1="36667" x2="91703" y2="41667"/>
                      <a14:foregroundMark x1="91703" y1="41667" x2="83843" y2="61111"/>
                      <a14:foregroundMark x1="83843" y1="61111" x2="72489" y2="66667"/>
                      <a14:foregroundMark x1="72489" y1="66667" x2="58297" y2="58333"/>
                      <a14:foregroundMark x1="58297" y1="58333" x2="56987" y2="43889"/>
                      <a14:foregroundMark x1="84498" y1="37222" x2="91048" y2="38889"/>
                      <a14:backgroundMark x1="54148" y1="6667" x2="62009" y2="6111"/>
                      <a14:backgroundMark x1="92163" y1="39937" x2="92358" y2="40000"/>
                      <a14:backgroundMark x1="92358" y1="40000" x2="91837" y2="41940"/>
                      <a14:backgroundMark x1="85152" y1="63775" x2="84714" y2="64174"/>
                      <a14:backgroundMark x1="74277" y1="72950" x2="73751" y2="72439"/>
                      <a14:backgroundMark x1="60550" y1="31474" x2="58734" y2="5556"/>
                      <a14:backgroundMark x1="58734" y1="5556" x2="56114" y2="4444"/>
                      <a14:backgroundMark x1="62882" y1="8333" x2="62882" y2="8333"/>
                      <a14:backgroundMark x1="62664" y1="8333" x2="54585" y2="5556"/>
                      <a14:backgroundMark x1="54148" y1="3889" x2="54148" y2="6111"/>
                      <a14:backgroundMark x1="63974" y1="9444" x2="60917" y2="10000"/>
                      <a14:backgroundMark x1="52183" y1="3889" x2="54803" y2="2222"/>
                      <a14:backgroundMark x1="57424" y1="38889" x2="57762" y2="38803"/>
                      <a14:backgroundMark x1="56332" y1="41667" x2="56114" y2="45556"/>
                    </a14:backgroundRemoval>
                  </a14:imgEffect>
                  <a14:imgEffect>
                    <a14:colorTemperature colorTemp="6503"/>
                  </a14:imgEffect>
                </a14:imgLayer>
              </a14:imgProps>
            </a:ext>
            <a:ext uri="{28A0092B-C50C-407E-A947-70E740481C1C}">
              <a14:useLocalDpi xmlns:a14="http://schemas.microsoft.com/office/drawing/2010/main" val="0"/>
            </a:ext>
          </a:extLst>
        </a:blip>
        <a:srcRect l="51354"/>
        <a:stretch/>
      </xdr:blipFill>
      <xdr:spPr>
        <a:xfrm>
          <a:off x="2178538" y="1738073"/>
          <a:ext cx="3135924" cy="251783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342900</xdr:colOff>
      <xdr:row>3</xdr:row>
      <xdr:rowOff>106680</xdr:rowOff>
    </xdr:from>
    <xdr:to>
      <xdr:col>13</xdr:col>
      <xdr:colOff>7620</xdr:colOff>
      <xdr:row>16</xdr:row>
      <xdr:rowOff>121920</xdr:rowOff>
    </xdr:to>
    <xdr:sp macro="" textlink="">
      <xdr:nvSpPr>
        <xdr:cNvPr id="2" name="TextBox 1">
          <a:extLst>
            <a:ext uri="{FF2B5EF4-FFF2-40B4-BE49-F238E27FC236}">
              <a16:creationId xmlns:a16="http://schemas.microsoft.com/office/drawing/2014/main" id="{D33F7616-84E2-9667-358B-8B69B6C60E6C}"/>
            </a:ext>
          </a:extLst>
        </xdr:cNvPr>
        <xdr:cNvSpPr txBox="1"/>
      </xdr:nvSpPr>
      <xdr:spPr>
        <a:xfrm>
          <a:off x="952500" y="655320"/>
          <a:ext cx="6979920" cy="2392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latin typeface="Arial" panose="020B0604020202020204" pitchFamily="34" charset="0"/>
              <a:cs typeface="Arial" panose="020B0604020202020204" pitchFamily="34" charset="0"/>
            </a:rPr>
            <a:t>HISTORICAL</a:t>
          </a:r>
          <a:r>
            <a:rPr lang="en-IN" sz="5400" baseline="0">
              <a:latin typeface="Arial" panose="020B0604020202020204" pitchFamily="34" charset="0"/>
              <a:cs typeface="Arial" panose="020B0604020202020204" pitchFamily="34" charset="0"/>
            </a:rPr>
            <a:t> DATA </a:t>
          </a:r>
          <a:endParaRPr lang="en-IN" sz="5400">
            <a:latin typeface="Arial" panose="020B0604020202020204" pitchFamily="34" charset="0"/>
            <a:cs typeface="Arial" panose="020B0604020202020204" pitchFamily="34" charset="0"/>
          </a:endParaRPr>
        </a:p>
      </xdr:txBody>
    </xdr:sp>
    <xdr:clientData/>
  </xdr:twoCellAnchor>
  <xdr:twoCellAnchor>
    <xdr:from>
      <xdr:col>12</xdr:col>
      <xdr:colOff>7620</xdr:colOff>
      <xdr:row>4</xdr:row>
      <xdr:rowOff>106680</xdr:rowOff>
    </xdr:from>
    <xdr:to>
      <xdr:col>15</xdr:col>
      <xdr:colOff>220980</xdr:colOff>
      <xdr:row>7</xdr:row>
      <xdr:rowOff>144780</xdr:rowOff>
    </xdr:to>
    <xdr:sp macro="" textlink="">
      <xdr:nvSpPr>
        <xdr:cNvPr id="3" name="Arrow: Right 2">
          <a:extLst>
            <a:ext uri="{FF2B5EF4-FFF2-40B4-BE49-F238E27FC236}">
              <a16:creationId xmlns:a16="http://schemas.microsoft.com/office/drawing/2014/main" id="{7A82227D-9A6F-4317-9617-FDEE313890BB}"/>
            </a:ext>
          </a:extLst>
        </xdr:cNvPr>
        <xdr:cNvSpPr/>
      </xdr:nvSpPr>
      <xdr:spPr>
        <a:xfrm>
          <a:off x="7322820" y="838200"/>
          <a:ext cx="2042160" cy="58674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2" xr16:uid="{95D5CB2F-4065-48A0-AC35-9B7F0B938D69}" autoFormatId="16" applyNumberFormats="0" applyBorderFormats="0" applyFontFormats="0" applyPatternFormats="0" applyAlignmentFormats="0" applyWidthHeightFormats="0">
  <queryTableRefresh nextId="3">
    <queryTableFields count="2">
      <queryTableField id="1" name="Name" tableColumnId="1"/>
      <queryTableField id="2" name="Valu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54EABE-3BD3-4649-B91F-7F140961AD60}" name="BRITANNIA_Price" displayName="BRITANNIA_Price" ref="A1:B26" tableType="queryTable" totalsRowShown="0">
  <autoFilter ref="A1:B26" xr:uid="{5254EABE-3BD3-4649-B91F-7F140961AD60}"/>
  <tableColumns count="2">
    <tableColumn id="1" xr3:uid="{BD04227B-99EE-4BB0-87B7-114FF3D19A1E}" uniqueName="1" name="Name" queryTableFieldId="1"/>
    <tableColumn id="2" xr3:uid="{15CB1297-2E09-417D-986C-AC3102726705}" uniqueName="2" name="Valu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reener.in/company/BRITANNIA/" TargetMode="External"/><Relationship Id="rId2" Type="http://schemas.openxmlformats.org/officeDocument/2006/relationships/hyperlink" Target="https://finance.yahoo.com/quote/BRITANNIA.NS/" TargetMode="External"/><Relationship Id="rId1" Type="http://schemas.openxmlformats.org/officeDocument/2006/relationships/hyperlink" Target="https://www.screener.in/company/BRITANNIA/" TargetMode="External"/><Relationship Id="rId5" Type="http://schemas.openxmlformats.org/officeDocument/2006/relationships/drawing" Target="../drawings/drawing1.xml"/><Relationship Id="rId4" Type="http://schemas.openxmlformats.org/officeDocument/2006/relationships/hyperlink" Target="https://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A0CE-FDD4-4255-8E88-A2A9F4BBF8C8}">
  <sheetPr codeName="Sheet1">
    <tabColor theme="1"/>
  </sheetPr>
  <dimension ref="B1:E34"/>
  <sheetViews>
    <sheetView topLeftCell="A11" zoomScaleNormal="100" workbookViewId="0">
      <selection activeCell="C10" sqref="C10"/>
    </sheetView>
  </sheetViews>
  <sheetFormatPr defaultRowHeight="14.4" x14ac:dyDescent="0.3"/>
  <cols>
    <col min="1" max="1" width="1.88671875" style="1" customWidth="1"/>
    <col min="2" max="2" width="25.109375" style="1" customWidth="1"/>
    <col min="3" max="16384" width="8.88671875" style="1"/>
  </cols>
  <sheetData>
    <row r="1" spans="2:3" ht="15.6" x14ac:dyDescent="0.3">
      <c r="B1" s="286"/>
      <c r="C1" s="286"/>
    </row>
    <row r="6" spans="2:3" x14ac:dyDescent="0.3">
      <c r="B6" s="128" t="s">
        <v>204</v>
      </c>
    </row>
    <row r="7" spans="2:3" x14ac:dyDescent="0.3">
      <c r="B7" s="259" t="s">
        <v>369</v>
      </c>
    </row>
    <row r="8" spans="2:3" x14ac:dyDescent="0.3">
      <c r="B8" s="128" t="s">
        <v>206</v>
      </c>
    </row>
    <row r="9" spans="2:3" x14ac:dyDescent="0.3">
      <c r="B9" s="259" t="s">
        <v>370</v>
      </c>
    </row>
    <row r="10" spans="2:3" x14ac:dyDescent="0.3">
      <c r="B10" s="260" t="s">
        <v>371</v>
      </c>
    </row>
    <row r="11" spans="2:3" x14ac:dyDescent="0.3">
      <c r="B11" s="260" t="s">
        <v>221</v>
      </c>
    </row>
    <row r="12" spans="2:3" x14ac:dyDescent="0.3">
      <c r="B12" s="128" t="s">
        <v>69</v>
      </c>
    </row>
    <row r="13" spans="2:3" x14ac:dyDescent="0.3">
      <c r="B13" s="261" t="s">
        <v>372</v>
      </c>
    </row>
    <row r="14" spans="2:3" x14ac:dyDescent="0.3">
      <c r="B14" s="261" t="s">
        <v>373</v>
      </c>
    </row>
    <row r="15" spans="2:3" x14ac:dyDescent="0.3">
      <c r="B15" s="261" t="s">
        <v>374</v>
      </c>
    </row>
    <row r="16" spans="2:3" x14ac:dyDescent="0.3">
      <c r="B16" s="261" t="s">
        <v>309</v>
      </c>
    </row>
    <row r="17" spans="2:5" x14ac:dyDescent="0.3">
      <c r="B17" s="277" t="s">
        <v>383</v>
      </c>
    </row>
    <row r="18" spans="2:5" x14ac:dyDescent="0.3">
      <c r="B18" s="261" t="s">
        <v>382</v>
      </c>
    </row>
    <row r="19" spans="2:5" x14ac:dyDescent="0.3">
      <c r="B19" s="261" t="s">
        <v>381</v>
      </c>
    </row>
    <row r="20" spans="2:5" x14ac:dyDescent="0.3">
      <c r="B20" s="261" t="s">
        <v>380</v>
      </c>
    </row>
    <row r="21" spans="2:5" x14ac:dyDescent="0.3">
      <c r="B21" s="128" t="s">
        <v>192</v>
      </c>
    </row>
    <row r="22" spans="2:5" x14ac:dyDescent="0.3">
      <c r="B22" s="260" t="s">
        <v>379</v>
      </c>
    </row>
    <row r="23" spans="2:5" x14ac:dyDescent="0.3">
      <c r="B23" s="260" t="s">
        <v>197</v>
      </c>
    </row>
    <row r="24" spans="2:5" x14ac:dyDescent="0.3">
      <c r="B24" s="128" t="s">
        <v>190</v>
      </c>
    </row>
    <row r="25" spans="2:5" x14ac:dyDescent="0.3">
      <c r="B25" s="261" t="s">
        <v>378</v>
      </c>
    </row>
    <row r="26" spans="2:5" x14ac:dyDescent="0.3">
      <c r="B26" s="262" t="s">
        <v>377</v>
      </c>
    </row>
    <row r="27" spans="2:5" x14ac:dyDescent="0.3">
      <c r="B27" s="261" t="s">
        <v>376</v>
      </c>
    </row>
    <row r="28" spans="2:5" x14ac:dyDescent="0.3">
      <c r="B28" s="261" t="s">
        <v>375</v>
      </c>
    </row>
    <row r="30" spans="2:5" x14ac:dyDescent="0.3">
      <c r="B30" s="290" t="s">
        <v>292</v>
      </c>
      <c r="C30" s="291"/>
      <c r="D30" s="291"/>
      <c r="E30" s="292"/>
    </row>
    <row r="31" spans="2:5" x14ac:dyDescent="0.3">
      <c r="B31" s="287" t="s">
        <v>294</v>
      </c>
      <c r="C31" s="289"/>
      <c r="D31" s="289"/>
      <c r="E31" s="176"/>
    </row>
    <row r="32" spans="2:5" x14ac:dyDescent="0.3">
      <c r="B32" s="287" t="s">
        <v>293</v>
      </c>
      <c r="C32" s="288"/>
      <c r="D32" s="288"/>
      <c r="E32" s="176"/>
    </row>
    <row r="33" spans="2:5" x14ac:dyDescent="0.3">
      <c r="B33" s="236" t="s">
        <v>295</v>
      </c>
      <c r="C33" s="235"/>
      <c r="D33" s="235"/>
      <c r="E33" s="237"/>
    </row>
    <row r="34" spans="2:5" x14ac:dyDescent="0.3">
      <c r="B34" s="238" t="s">
        <v>296</v>
      </c>
      <c r="C34" s="87"/>
      <c r="D34" s="87"/>
      <c r="E34" s="89"/>
    </row>
  </sheetData>
  <mergeCells count="4">
    <mergeCell ref="B1:C1"/>
    <mergeCell ref="B32:D32"/>
    <mergeCell ref="B31:D31"/>
    <mergeCell ref="B30:E30"/>
  </mergeCells>
  <hyperlinks>
    <hyperlink ref="B13" location="'P&amp;L Forecast'!A1" display="'P&amp;L Forecast'!A1" xr:uid="{1C0BEA28-EBA0-453C-9766-A84ADC7D4333}"/>
    <hyperlink ref="B14" location="'BS Forecast'!A1" display="'BS Forecast'!A1" xr:uid="{C075E220-B796-495C-89DA-5A64C60582D3}"/>
    <hyperlink ref="B15" location="'Cash Flow Forecast'!A1" display="'Cash Flow Forecast'!A1" xr:uid="{48C980A7-49FC-473E-8BFB-1BA230C1BB1D}"/>
    <hyperlink ref="B18" location="'Equity Schedule'!A1" display="'Equity Schedule'!A1" xr:uid="{39088A4D-C33C-4FE9-BB35-B3FFF684EC9A}"/>
    <hyperlink ref="B19" location="'financial liabilites'!A1" display="'financial liabilites'!A1" xr:uid="{AFA34DFD-D274-4085-85FB-505D42870325}"/>
    <hyperlink ref="B20" location="'PP&amp;E schedule'!A1" display="'PP&amp;E schedule'!A1" xr:uid="{0361E8B0-4A1F-46BE-9990-5B3D6865FFF6}"/>
    <hyperlink ref="B25" location="'P&amp;L'!A1" display="'P&amp;L'!A1" xr:uid="{1C229795-C07C-43B1-85FF-5DF95FF1BECE}"/>
    <hyperlink ref="B26" location="BS!A1" display="BS!A1" xr:uid="{9BCE1E2D-3C60-4F5F-9168-827A4912FAF7}"/>
    <hyperlink ref="B22" location="'Revenues&amp;EBITDA'!A1" display="'Revenues&amp;EBITDA'!A1" xr:uid="{2E4CEB45-1277-4292-91FC-741B914ACCE5}"/>
    <hyperlink ref="B23" location="'Working Capital'!A1" display="'Working Capital'!A1" xr:uid="{1C2595EF-BB18-4796-9E3B-887CACE46245}"/>
    <hyperlink ref="B7" location="'Company Summary'!A1" display="'Company Summary'!A1" xr:uid="{BFA38362-BAB5-4201-B1B3-0EE5EE92630A}"/>
    <hyperlink ref="B11" location="'Peer Comparison Charts'!A1" display="'Peer Comparison Charts'!A1" xr:uid="{8E05DA63-0ECE-40A6-82FA-B3C670142347}"/>
    <hyperlink ref="B9" location="'Peer comparison FMCG'!A1" display="'Peer comparison FMCG'!A1" xr:uid="{4060E0E4-EC20-48A9-B664-285C1A962763}"/>
    <hyperlink ref="B10" location="'Peer Comparison Categories'!A1" display="'Peer Comparison Categories'!A1" xr:uid="{3ABB0953-9F16-4B20-90A0-8168BA35323E}"/>
    <hyperlink ref="B8" location="'Peer Comparison '!A1" display="PEER COMPARISON" xr:uid="{DF681899-C0E1-45A9-B5A6-D48BA9E91645}"/>
    <hyperlink ref="B21" location="'Charts '!A1" display="CHARTS" xr:uid="{F95DACC3-74BB-4E2D-BAF6-F8FEF886F9AF}"/>
    <hyperlink ref="B24" location="'historical data '!A1" display="HISTORICAL DATA " xr:uid="{F9C84BF9-093F-4308-A45A-2DF8B887EABB}"/>
    <hyperlink ref="B12" location="'FORECASTS '!A1" display="FORECAST" xr:uid="{8F2B7174-2202-4C27-9973-18A355220B76}"/>
    <hyperlink ref="B32" r:id="rId1" location="top" xr:uid="{01452DBC-8295-4B28-8BBB-61609725F4CC}"/>
    <hyperlink ref="B31" r:id="rId2" xr:uid="{402A96E7-226A-4233-86F3-E1D5ECE1EBB1}"/>
    <hyperlink ref="B33" r:id="rId3" location="documents" xr:uid="{F93E7A9D-AC05-4EC5-98D3-2110D763FC95}"/>
    <hyperlink ref="B34" r:id="rId4" xr:uid="{2567916E-6927-4E22-875A-171BFCF33F03}"/>
    <hyperlink ref="B27" location="'Cash Flow'!A1" display="'Cash Flow'!A1" xr:uid="{6BC134CB-8579-4B32-84DD-9927B9739CE5}"/>
    <hyperlink ref="B28" location="'Britannia Stock Data'!A1" display="'Britannia Stock Data'!A1" xr:uid="{A87DE619-1AC3-4980-8ABD-E93F3825DB80}"/>
    <hyperlink ref="B16" location="WACC!A1" display="WACC!A1" xr:uid="{E95FC7B4-F80E-4F40-AB58-6211FEBD88F1}"/>
    <hyperlink ref="B17" location="'DCF '!A1" display="'DCF '!A1" xr:uid="{E0AEED23-EBBC-4472-BBE1-955799142033}"/>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AECE-CA65-4C78-8333-FBED45E48AE7}">
  <sheetPr codeName="Sheet2">
    <tabColor rgb="FF7030A0"/>
  </sheetPr>
  <dimension ref="B24:N46"/>
  <sheetViews>
    <sheetView topLeftCell="A28" workbookViewId="0">
      <selection activeCell="C40" sqref="C40"/>
    </sheetView>
  </sheetViews>
  <sheetFormatPr defaultRowHeight="14.4" x14ac:dyDescent="0.3"/>
  <cols>
    <col min="1" max="1" width="2.77734375" style="1" customWidth="1"/>
    <col min="2" max="2" width="26.77734375" style="1" customWidth="1"/>
    <col min="3" max="5" width="9.77734375" style="1" customWidth="1"/>
    <col min="6" max="6" width="1.44140625" style="1" customWidth="1"/>
    <col min="7" max="11" width="9.77734375" style="1" customWidth="1"/>
    <col min="12" max="16384" width="8.88671875" style="1"/>
  </cols>
  <sheetData>
    <row r="24" spans="2:14" x14ac:dyDescent="0.3">
      <c r="B24" s="127"/>
      <c r="C24" s="189"/>
      <c r="D24" s="189"/>
      <c r="E24" s="162"/>
      <c r="F24" s="162"/>
      <c r="G24" s="293" t="s">
        <v>258</v>
      </c>
      <c r="H24" s="293"/>
      <c r="I24" s="293"/>
      <c r="J24" s="293"/>
      <c r="K24" s="293"/>
      <c r="L24" s="162"/>
      <c r="M24" s="162"/>
      <c r="N24" s="162"/>
    </row>
    <row r="25" spans="2:14" x14ac:dyDescent="0.3">
      <c r="B25" s="198" t="s">
        <v>230</v>
      </c>
      <c r="C25" s="199" t="s">
        <v>231</v>
      </c>
      <c r="D25" s="199" t="s">
        <v>167</v>
      </c>
      <c r="E25" s="199" t="s">
        <v>232</v>
      </c>
      <c r="F25" s="200"/>
      <c r="G25" s="199" t="s">
        <v>233</v>
      </c>
      <c r="H25" s="199" t="s">
        <v>234</v>
      </c>
      <c r="I25" s="199" t="s">
        <v>235</v>
      </c>
      <c r="J25" s="199" t="s">
        <v>236</v>
      </c>
      <c r="K25" s="201" t="s">
        <v>237</v>
      </c>
      <c r="L25" s="139"/>
      <c r="M25" s="139"/>
      <c r="N25" s="139"/>
    </row>
    <row r="26" spans="2:14" x14ac:dyDescent="0.3">
      <c r="B26" s="202" t="s">
        <v>238</v>
      </c>
      <c r="C26" s="177"/>
      <c r="D26" s="177"/>
      <c r="E26" s="177"/>
      <c r="F26" s="177"/>
      <c r="G26" s="177"/>
      <c r="H26" s="177"/>
      <c r="K26" s="176"/>
    </row>
    <row r="27" spans="2:14" x14ac:dyDescent="0.3">
      <c r="B27" s="16" t="s">
        <v>245</v>
      </c>
      <c r="C27" s="36">
        <f>('BS Forecast'!C11+'BS Forecast'!C13+'BS Forecast'!C14+'BS Forecast'!C15+'BS Forecast'!C16+'BS Forecast'!C10)/('BS Forecast'!C19+'BS Forecast'!C21+'BS Forecast'!C22+'BS Forecast'!C23)</f>
        <v>0.9335957631398345</v>
      </c>
      <c r="D27" s="36">
        <f>('BS Forecast'!D11+'BS Forecast'!D13+'BS Forecast'!D14+'BS Forecast'!D15+'BS Forecast'!D16+'BS Forecast'!D10)/('BS Forecast'!D19+'BS Forecast'!D21+'BS Forecast'!D22+'BS Forecast'!D23)</f>
        <v>1.1496133021964019</v>
      </c>
      <c r="E27" s="36">
        <f>('BS Forecast'!E11+'BS Forecast'!E13+'BS Forecast'!E14+'BS Forecast'!E15+'BS Forecast'!E16+'BS Forecast'!E10)/('BS Forecast'!E19+'BS Forecast'!E21+'BS Forecast'!E22+'BS Forecast'!E23)</f>
        <v>1.1669549815650593</v>
      </c>
      <c r="F27" s="36"/>
      <c r="G27" s="36">
        <f>('BS Forecast'!G11+'BS Forecast'!G13+'BS Forecast'!G14+'BS Forecast'!G15+'BS Forecast'!G16+'BS Forecast'!G10)/('BS Forecast'!G19+'BS Forecast'!G21+'BS Forecast'!G22+'BS Forecast'!G23)</f>
        <v>1.2986096915162513</v>
      </c>
      <c r="H27" s="36">
        <f>('BS Forecast'!H11+'BS Forecast'!H13+'BS Forecast'!H14+'BS Forecast'!H15+'BS Forecast'!H16+'BS Forecast'!H10)/('BS Forecast'!H19+'BS Forecast'!H21+'BS Forecast'!H22+'BS Forecast'!H23)</f>
        <v>1.430931561914941</v>
      </c>
      <c r="I27" s="36">
        <f>('BS Forecast'!I11+'BS Forecast'!I13+'BS Forecast'!I14+'BS Forecast'!I15+'BS Forecast'!I16+'BS Forecast'!I10)/('BS Forecast'!I19+'BS Forecast'!I21+'BS Forecast'!I22+'BS Forecast'!I23)</f>
        <v>1.5644416925255999</v>
      </c>
      <c r="J27" s="36">
        <f>('BS Forecast'!J11+'BS Forecast'!J13+'BS Forecast'!J14+'BS Forecast'!J15+'BS Forecast'!J16+'BS Forecast'!J10)/('BS Forecast'!J19+'BS Forecast'!J21+'BS Forecast'!J22+'BS Forecast'!J23)</f>
        <v>1.6967739689592654</v>
      </c>
      <c r="K27" s="123">
        <f>('BS Forecast'!K11+'BS Forecast'!K13+'BS Forecast'!K14+'BS Forecast'!K15+'BS Forecast'!K16+'BS Forecast'!K10)/('BS Forecast'!K19+'BS Forecast'!K21+'BS Forecast'!K22+'BS Forecast'!K23)</f>
        <v>1.8256924679141044</v>
      </c>
    </row>
    <row r="28" spans="2:14" x14ac:dyDescent="0.3">
      <c r="B28" s="97" t="s">
        <v>248</v>
      </c>
      <c r="C28" s="125">
        <f>('BS Forecast'!C11+'BS Forecast'!C14+'BS Forecast'!C15+'BS Forecast'!C16+'BS Forecast'!C10)/('BS Forecast'!C19+'BS Forecast'!C21+'BS Forecast'!C22+'BS Forecast'!C23)</f>
        <v>0.60945006280186986</v>
      </c>
      <c r="D28" s="125">
        <f>('BS Forecast'!D11+'BS Forecast'!D14+'BS Forecast'!D15+'BS Forecast'!D16+'BS Forecast'!D10)/('BS Forecast'!D19+'BS Forecast'!D21+'BS Forecast'!D22+'BS Forecast'!D23)</f>
        <v>0.87015587536212291</v>
      </c>
      <c r="E28" s="125">
        <f>('BS Forecast'!E11+'BS Forecast'!E14+'BS Forecast'!E15+'BS Forecast'!E16+'BS Forecast'!E10)/('BS Forecast'!E19+'BS Forecast'!E21+'BS Forecast'!E22+'BS Forecast'!E23)</f>
        <v>0.88928449709275303</v>
      </c>
      <c r="F28" s="125"/>
      <c r="G28" s="125">
        <f>('BS Forecast'!G11+'BS Forecast'!G14+'BS Forecast'!G15+'BS Forecast'!G16+'BS Forecast'!G10)/('BS Forecast'!G19+'BS Forecast'!G21+'BS Forecast'!G22+'BS Forecast'!G23)</f>
        <v>0.99469903422313932</v>
      </c>
      <c r="H28" s="125">
        <f>('BS Forecast'!H11+'BS Forecast'!H14+'BS Forecast'!H15+'BS Forecast'!H16+'BS Forecast'!H10)/('BS Forecast'!H19+'BS Forecast'!H21+'BS Forecast'!H22+'BS Forecast'!H23)</f>
        <v>1.1141936928540432</v>
      </c>
      <c r="I28" s="125">
        <f>('BS Forecast'!I11+'BS Forecast'!I14+'BS Forecast'!I15+'BS Forecast'!I16+'BS Forecast'!I10)/('BS Forecast'!I19+'BS Forecast'!I21+'BS Forecast'!I22+'BS Forecast'!I23)</f>
        <v>1.2364085158877243</v>
      </c>
      <c r="J28" s="125">
        <f>('BS Forecast'!J11+'BS Forecast'!J14+'BS Forecast'!J15+'BS Forecast'!J16+'BS Forecast'!J10)/('BS Forecast'!J19+'BS Forecast'!J21+'BS Forecast'!J22+'BS Forecast'!J23)</f>
        <v>1.3591044177954434</v>
      </c>
      <c r="K28" s="126">
        <f>('BS Forecast'!K11+'BS Forecast'!K14+'BS Forecast'!K15+'BS Forecast'!K16+'BS Forecast'!K10)/('BS Forecast'!K19+'BS Forecast'!K21+'BS Forecast'!K22+'BS Forecast'!K23)</f>
        <v>1.4801218398654883</v>
      </c>
    </row>
    <row r="29" spans="2:14" x14ac:dyDescent="0.3">
      <c r="B29" s="20" t="s">
        <v>249</v>
      </c>
      <c r="C29" s="203"/>
      <c r="D29" s="203"/>
      <c r="E29" s="203"/>
      <c r="F29" s="203"/>
      <c r="G29" s="203"/>
      <c r="H29" s="203"/>
      <c r="I29" s="204"/>
      <c r="J29" s="204"/>
      <c r="K29" s="205"/>
    </row>
    <row r="30" spans="2:14" x14ac:dyDescent="0.3">
      <c r="B30" s="16" t="s">
        <v>250</v>
      </c>
      <c r="C30" s="206">
        <f>'BS Forecast'!C24/'BS Forecast'!C17</f>
        <v>0.6575055988527162</v>
      </c>
      <c r="D30" s="206">
        <f>'BS Forecast'!D24/'BS Forecast'!D17</f>
        <v>0.63174570467421265</v>
      </c>
      <c r="E30" s="206">
        <f>'BS Forecast'!E24/'BS Forecast'!E17</f>
        <v>0.57859426294135374</v>
      </c>
      <c r="F30" s="206"/>
      <c r="G30" s="206">
        <f>'BS Forecast'!G24/'BS Forecast'!G17</f>
        <v>0.52387620361356413</v>
      </c>
      <c r="H30" s="206">
        <f>'BS Forecast'!H24/'BS Forecast'!H17</f>
        <v>0.48121907472915254</v>
      </c>
      <c r="I30" s="206">
        <f>'BS Forecast'!I24/'BS Forecast'!I17</f>
        <v>0.44348722456168549</v>
      </c>
      <c r="J30" s="206">
        <f>'BS Forecast'!J24/'BS Forecast'!J17</f>
        <v>0.41014900290427198</v>
      </c>
      <c r="K30" s="207">
        <f>'BS Forecast'!K24/'BS Forecast'!K17</f>
        <v>0.38070196537973811</v>
      </c>
    </row>
    <row r="31" spans="2:14" x14ac:dyDescent="0.3">
      <c r="B31" s="97" t="s">
        <v>251</v>
      </c>
      <c r="C31" s="125">
        <f>'P&amp;L Forecast'!C16/-'P&amp;L Forecast'!C17</f>
        <v>17.073130526000291</v>
      </c>
      <c r="D31" s="125">
        <f>'P&amp;L Forecast'!D16/-'P&amp;L Forecast'!D17</f>
        <v>17.859180380767988</v>
      </c>
      <c r="E31" s="125">
        <f>'P&amp;L Forecast'!E16/-'P&amp;L Forecast'!E17</f>
        <v>19.879392338177002</v>
      </c>
      <c r="F31" s="125"/>
      <c r="G31" s="125">
        <f>'P&amp;L Forecast'!G16/-'P&amp;L Forecast'!G17</f>
        <v>35.367892537914486</v>
      </c>
      <c r="H31" s="125">
        <f>'P&amp;L Forecast'!H16/-'P&amp;L Forecast'!H17</f>
        <v>39.28017724041549</v>
      </c>
      <c r="I31" s="125">
        <f>'P&amp;L Forecast'!I16/-'P&amp;L Forecast'!I17</f>
        <v>44.147364433245095</v>
      </c>
      <c r="J31" s="125">
        <f>'P&amp;L Forecast'!J16/-'P&amp;L Forecast'!J17</f>
        <v>50.378178962911413</v>
      </c>
      <c r="K31" s="126">
        <f>'P&amp;L Forecast'!K16/-'P&amp;L Forecast'!K17</f>
        <v>58.653944412115379</v>
      </c>
    </row>
    <row r="32" spans="2:14" x14ac:dyDescent="0.3">
      <c r="B32" s="20" t="s">
        <v>252</v>
      </c>
      <c r="C32" s="208"/>
      <c r="D32" s="208"/>
      <c r="E32" s="208"/>
      <c r="F32" s="208"/>
      <c r="G32" s="208"/>
      <c r="H32" s="208"/>
      <c r="I32" s="204"/>
      <c r="J32" s="204"/>
      <c r="K32" s="205"/>
    </row>
    <row r="33" spans="2:11" x14ac:dyDescent="0.3">
      <c r="B33" s="16" t="s">
        <v>253</v>
      </c>
      <c r="C33" s="33">
        <f>'P&amp;L Forecast'!C21/'P&amp;L Forecast'!C10</f>
        <v>0.11675654811540259</v>
      </c>
      <c r="D33" s="33">
        <f>'P&amp;L Forecast'!D21/'P&amp;L Forecast'!D10</f>
        <v>0.1350652597605532</v>
      </c>
      <c r="E33" s="33">
        <f>'P&amp;L Forecast'!E21/'P&amp;L Forecast'!E10</f>
        <v>0.12698376879018836</v>
      </c>
      <c r="F33" s="33" t="e">
        <f>'P&amp;L Forecast'!F21/'P&amp;L Forecast'!F10</f>
        <v>#DIV/0!</v>
      </c>
      <c r="G33" s="33">
        <f>'P&amp;L Forecast'!G21/'P&amp;L Forecast'!G10</f>
        <v>0.13038027831662866</v>
      </c>
      <c r="H33" s="33">
        <f>'P&amp;L Forecast'!H21/'P&amp;L Forecast'!H10</f>
        <v>0.1305782283539513</v>
      </c>
      <c r="I33" s="33">
        <f>'P&amp;L Forecast'!I21/'P&amp;L Forecast'!I10</f>
        <v>0.13077268151505697</v>
      </c>
      <c r="J33" s="33">
        <f>'P&amp;L Forecast'!J21/'P&amp;L Forecast'!J10</f>
        <v>0.13096410493232993</v>
      </c>
      <c r="K33" s="209">
        <f>'P&amp;L Forecast'!K21/'P&amp;L Forecast'!K10</f>
        <v>0.1311529859946686</v>
      </c>
    </row>
    <row r="34" spans="2:11" x14ac:dyDescent="0.3">
      <c r="B34" s="16" t="s">
        <v>254</v>
      </c>
      <c r="C34" s="210">
        <f>'P&amp;L Forecast'!C12/'P&amp;L Forecast'!C10</f>
        <v>0.38273038114346669</v>
      </c>
      <c r="D34" s="210">
        <f>'P&amp;L Forecast'!D12/'P&amp;L Forecast'!D10</f>
        <v>0.40303213395281645</v>
      </c>
      <c r="E34" s="210">
        <f>'P&amp;L Forecast'!E12/'P&amp;L Forecast'!E10</f>
        <v>0.42498165732404897</v>
      </c>
      <c r="F34" s="210" t="e">
        <f>'P&amp;L Forecast'!F12/'P&amp;L Forecast'!F10</f>
        <v>#DIV/0!</v>
      </c>
      <c r="G34" s="210">
        <f>'P&amp;L Forecast'!G12/'P&amp;L Forecast'!G10</f>
        <v>0.42</v>
      </c>
      <c r="H34" s="210">
        <f>'P&amp;L Forecast'!H12/'P&amp;L Forecast'!H10</f>
        <v>0.42000000000000004</v>
      </c>
      <c r="I34" s="210">
        <f>'P&amp;L Forecast'!I12/'P&amp;L Forecast'!I10</f>
        <v>0.42000000000000004</v>
      </c>
      <c r="J34" s="210">
        <f>'P&amp;L Forecast'!J12/'P&amp;L Forecast'!J10</f>
        <v>0.42000000000000004</v>
      </c>
      <c r="K34" s="211">
        <f>'P&amp;L Forecast'!K12/'P&amp;L Forecast'!K10</f>
        <v>0.4200000000000001</v>
      </c>
    </row>
    <row r="35" spans="2:11" x14ac:dyDescent="0.3">
      <c r="B35" s="16" t="s">
        <v>255</v>
      </c>
      <c r="C35" s="33">
        <f>'P&amp;L Forecast'!C16/'P&amp;L Forecast'!C10</f>
        <v>0.16594360955644316</v>
      </c>
      <c r="D35" s="33">
        <f>'P&amp;L Forecast'!D16/'P&amp;L Forecast'!D10</f>
        <v>0.17471293976075519</v>
      </c>
      <c r="E35" s="33">
        <f>'P&amp;L Forecast'!E16/'P&amp;L Forecast'!E10</f>
        <v>0.18356337661371322</v>
      </c>
      <c r="F35" s="33"/>
      <c r="G35" s="33">
        <f>'P&amp;L Forecast'!G16/'P&amp;L Forecast'!G10</f>
        <v>0.18131613990299347</v>
      </c>
      <c r="H35" s="33">
        <f>'P&amp;L Forecast'!H16/'P&amp;L Forecast'!H10</f>
        <v>0.1810666852055661</v>
      </c>
      <c r="I35" s="33">
        <f>'P&amp;L Forecast'!I16/'P&amp;L Forecast'!I10</f>
        <v>0.18081556721888561</v>
      </c>
      <c r="J35" s="33">
        <f>'P&amp;L Forecast'!J16/'P&amp;L Forecast'!J10</f>
        <v>0.1805626645092937</v>
      </c>
      <c r="K35" s="209">
        <f>'P&amp;L Forecast'!K16/'P&amp;L Forecast'!K10</f>
        <v>0.18030786094362411</v>
      </c>
    </row>
    <row r="36" spans="2:11" x14ac:dyDescent="0.3">
      <c r="B36" s="16" t="s">
        <v>256</v>
      </c>
      <c r="C36" s="33">
        <f>'P&amp;L Forecast'!C19/'P&amp;L Forecast'!C10</f>
        <v>0.15622403239373528</v>
      </c>
      <c r="D36" s="33">
        <f>'P&amp;L Forecast'!D19/'P&amp;L Forecast'!D10</f>
        <v>0.17930855526955281</v>
      </c>
      <c r="E36" s="33">
        <f>'P&amp;L Forecast'!E19/'P&amp;L Forecast'!E10</f>
        <v>0.17415265375675681</v>
      </c>
      <c r="F36" s="33"/>
      <c r="G36" s="33">
        <f>'P&amp;L Forecast'!G19/'P&amp;L Forecast'!G10</f>
        <v>0.17618956529274146</v>
      </c>
      <c r="H36" s="33">
        <f>'P&amp;L Forecast'!H19/'P&amp;L Forecast'!H10</f>
        <v>0.17645706534317743</v>
      </c>
      <c r="I36" s="33">
        <f>'P&amp;L Forecast'!I19/'P&amp;L Forecast'!I10</f>
        <v>0.17671983988521214</v>
      </c>
      <c r="J36" s="33">
        <f>'P&amp;L Forecast'!J19/'P&amp;L Forecast'!J10</f>
        <v>0.17697852017882426</v>
      </c>
      <c r="K36" s="209">
        <f>'P&amp;L Forecast'!K19/'P&amp;L Forecast'!K10</f>
        <v>0.17723376485766029</v>
      </c>
    </row>
    <row r="37" spans="2:11" x14ac:dyDescent="0.3">
      <c r="B37" s="16" t="s">
        <v>225</v>
      </c>
      <c r="C37" s="33">
        <f>'P&amp;L Forecast'!C49</f>
        <v>0.22854295827553892</v>
      </c>
      <c r="D37" s="33">
        <f>'P&amp;L Forecast'!D49</f>
        <v>0.24764830768447149</v>
      </c>
      <c r="E37" s="33">
        <f>'P&amp;L Forecast'!E49</f>
        <v>0.24872653162645544</v>
      </c>
      <c r="F37" s="33"/>
      <c r="G37" s="33">
        <f>'P&amp;L Forecast'!G49</f>
        <v>0.25212918509211862</v>
      </c>
      <c r="H37" s="33">
        <f>'P&amp;L Forecast'!H49</f>
        <v>0.24530172014010121</v>
      </c>
      <c r="I37" s="33">
        <f>'P&amp;L Forecast'!I49</f>
        <v>0.23860209936111693</v>
      </c>
      <c r="J37" s="33">
        <f>'P&amp;L Forecast'!J49</f>
        <v>0.2321056955637166</v>
      </c>
      <c r="K37" s="209">
        <f>'P&amp;L Forecast'!K49</f>
        <v>0.22586170483747978</v>
      </c>
    </row>
    <row r="38" spans="2:11" x14ac:dyDescent="0.3">
      <c r="B38" s="97" t="s">
        <v>226</v>
      </c>
      <c r="C38" s="212">
        <f>'P&amp;L Forecast'!C50</f>
        <v>0.66728961848710067</v>
      </c>
      <c r="D38" s="212">
        <f>'P&amp;L Forecast'!D50</f>
        <v>0.6724926520283544</v>
      </c>
      <c r="E38" s="212">
        <f>'P&amp;L Forecast'!E50</f>
        <v>0.59023053023086991</v>
      </c>
      <c r="F38" s="212"/>
      <c r="G38" s="212">
        <f>'P&amp;L Forecast'!G50</f>
        <v>0.52954543966435841</v>
      </c>
      <c r="H38" s="212">
        <f>'P&amp;L Forecast'!H50</f>
        <v>0.47284259731028649</v>
      </c>
      <c r="I38" s="212">
        <f>'P&amp;L Forecast'!I50</f>
        <v>0.42874505292927323</v>
      </c>
      <c r="J38" s="212">
        <f>'P&amp;L Forecast'!J50</f>
        <v>0.39349886107939847</v>
      </c>
      <c r="K38" s="213">
        <f>'P&amp;L Forecast'!K50</f>
        <v>0.36470599325569075</v>
      </c>
    </row>
    <row r="39" spans="2:11" x14ac:dyDescent="0.3">
      <c r="B39" s="20" t="s">
        <v>257</v>
      </c>
      <c r="C39" s="204"/>
      <c r="D39" s="204"/>
      <c r="E39" s="204"/>
      <c r="F39" s="204"/>
      <c r="G39" s="204"/>
      <c r="H39" s="204"/>
      <c r="I39" s="204"/>
      <c r="J39" s="204"/>
      <c r="K39" s="205"/>
    </row>
    <row r="40" spans="2:11" x14ac:dyDescent="0.3">
      <c r="B40" s="16" t="s">
        <v>200</v>
      </c>
      <c r="C40" s="139">
        <f>'BS Forecast'!C38</f>
        <v>50.7229558175314</v>
      </c>
      <c r="D40" s="139">
        <f>'BS Forecast'!D38</f>
        <v>49.82915546493107</v>
      </c>
      <c r="E40" s="139">
        <f>'BS Forecast'!E38</f>
        <v>57.777263947917454</v>
      </c>
      <c r="F40" s="139"/>
      <c r="G40" s="139">
        <f>'BS Forecast'!G38</f>
        <v>52.776458410126644</v>
      </c>
      <c r="H40" s="139">
        <f>'BS Forecast'!H38</f>
        <v>52.776458410126644</v>
      </c>
      <c r="I40" s="139">
        <f>'BS Forecast'!I38</f>
        <v>52.776458410126644</v>
      </c>
      <c r="J40" s="139">
        <f>'BS Forecast'!J38</f>
        <v>52.776458410126644</v>
      </c>
      <c r="K40" s="214">
        <f>'BS Forecast'!K38</f>
        <v>52.776458410126644</v>
      </c>
    </row>
    <row r="41" spans="2:11" x14ac:dyDescent="0.3">
      <c r="B41" s="16" t="s">
        <v>199</v>
      </c>
      <c r="C41" s="139">
        <f>'BS Forecast'!C37</f>
        <v>6.6554269338470098</v>
      </c>
      <c r="D41" s="139">
        <f>'BS Forecast'!D37</f>
        <v>6.3281227804010483</v>
      </c>
      <c r="E41" s="139">
        <f>'BS Forecast'!E37</f>
        <v>7.6199409740921524</v>
      </c>
      <c r="F41" s="139"/>
      <c r="G41" s="139">
        <f>'BS Forecast'!G37</f>
        <v>7.6199409740921524</v>
      </c>
      <c r="H41" s="139">
        <f>'BS Forecast'!H37</f>
        <v>7.6199409740921524</v>
      </c>
      <c r="I41" s="139">
        <f>'BS Forecast'!I37</f>
        <v>7.6199409740921524</v>
      </c>
      <c r="J41" s="139">
        <f>'BS Forecast'!J37</f>
        <v>7.6199409740921524</v>
      </c>
      <c r="K41" s="214">
        <f>'BS Forecast'!K37</f>
        <v>7.6199409740921524</v>
      </c>
    </row>
    <row r="42" spans="2:11" x14ac:dyDescent="0.3">
      <c r="B42" s="16" t="s">
        <v>201</v>
      </c>
      <c r="C42" s="139">
        <f>'BS Forecast'!C39</f>
        <v>53.162241498107534</v>
      </c>
      <c r="D42" s="139">
        <f>'BS Forecast'!D39</f>
        <v>40.914611575632065</v>
      </c>
      <c r="E42" s="139">
        <f>'BS Forecast'!E39</f>
        <v>41.064264205657338</v>
      </c>
      <c r="F42" s="139"/>
      <c r="G42" s="139">
        <f>'BS Forecast'!G39</f>
        <v>41.064264205657338</v>
      </c>
      <c r="H42" s="139">
        <f>'BS Forecast'!H39</f>
        <v>41.064264205657338</v>
      </c>
      <c r="I42" s="139">
        <f>'BS Forecast'!I39</f>
        <v>41.064264205657338</v>
      </c>
      <c r="J42" s="139">
        <f>'BS Forecast'!J39</f>
        <v>41.064264205657338</v>
      </c>
      <c r="K42" s="214">
        <f>'BS Forecast'!K39</f>
        <v>41.064264205657338</v>
      </c>
    </row>
    <row r="43" spans="2:11" x14ac:dyDescent="0.3">
      <c r="B43" s="97" t="s">
        <v>259</v>
      </c>
      <c r="C43" s="125">
        <f>'P&amp;L Forecast'!C10/'BS Forecast'!C17</f>
        <v>1.957431612740437</v>
      </c>
      <c r="D43" s="125">
        <f>'P&amp;L Forecast'!D10/'BS Forecast'!D17</f>
        <v>1.8335455625192452</v>
      </c>
      <c r="E43" s="125">
        <f>'P&amp;L Forecast'!E10/'BS Forecast'!E17</f>
        <v>1.9587269616908218</v>
      </c>
      <c r="F43" s="125"/>
      <c r="G43" s="125">
        <f>'P&amp;L Forecast'!G10/'BS Forecast'!G17</f>
        <v>1.9337984881411483</v>
      </c>
      <c r="H43" s="125">
        <f>'P&amp;L Forecast'!H10/'BS Forecast'!H17</f>
        <v>1.8785805507727917</v>
      </c>
      <c r="I43" s="125">
        <f>'P&amp;L Forecast'!I10/'BS Forecast'!I17</f>
        <v>1.8245561427418204</v>
      </c>
      <c r="J43" s="125">
        <f>'P&amp;L Forecast'!J10/'BS Forecast'!J17</f>
        <v>1.7722848232624293</v>
      </c>
      <c r="K43" s="126">
        <f>'P&amp;L Forecast'!K10/'BS Forecast'!K17</f>
        <v>1.7221239998810329</v>
      </c>
    </row>
    <row r="44" spans="2:11" x14ac:dyDescent="0.3">
      <c r="B44" s="20" t="s">
        <v>260</v>
      </c>
      <c r="C44" s="204"/>
      <c r="D44" s="204"/>
      <c r="E44" s="204"/>
      <c r="F44" s="204"/>
      <c r="G44" s="204"/>
      <c r="H44" s="204"/>
      <c r="I44" s="204"/>
      <c r="J44" s="204"/>
      <c r="K44" s="205"/>
    </row>
    <row r="45" spans="2:11" x14ac:dyDescent="0.3">
      <c r="B45" s="16" t="s">
        <v>262</v>
      </c>
      <c r="C45" s="142">
        <f>'P&amp;L'!C35</f>
        <v>66.598006644518236</v>
      </c>
      <c r="D45" s="142">
        <f>'P&amp;L'!D35</f>
        <v>88.850498338870423</v>
      </c>
      <c r="E45" s="142">
        <f>'P&amp;L'!E35</f>
        <v>86.404485049833838</v>
      </c>
      <c r="G45" s="215"/>
      <c r="H45" s="215"/>
      <c r="I45" s="215"/>
      <c r="J45" s="215"/>
      <c r="K45" s="216"/>
    </row>
    <row r="46" spans="2:11" x14ac:dyDescent="0.3">
      <c r="B46" s="97" t="s">
        <v>261</v>
      </c>
      <c r="C46" s="217">
        <f>3900/C45</f>
        <v>58.560311284046726</v>
      </c>
      <c r="D46" s="217">
        <f>4500/D45</f>
        <v>50.646874065210895</v>
      </c>
      <c r="E46" s="217">
        <f>5700/E45</f>
        <v>65.96879776220554</v>
      </c>
      <c r="F46" s="87"/>
      <c r="G46" s="218"/>
      <c r="H46" s="218"/>
      <c r="I46" s="218"/>
      <c r="J46" s="218"/>
      <c r="K46" s="219"/>
    </row>
  </sheetData>
  <mergeCells count="1">
    <mergeCell ref="G24:K24"/>
  </mergeCells>
  <phoneticPr fontId="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09239-8588-49CB-957F-0B2F6E60BE34}">
  <sheetPr>
    <tabColor rgb="FF00B050"/>
  </sheetPr>
  <dimension ref="A1"/>
  <sheetViews>
    <sheetView workbookViewId="0"/>
  </sheetViews>
  <sheetFormatPr defaultRowHeight="14.4" x14ac:dyDescent="0.3"/>
  <cols>
    <col min="1" max="16384" width="8.886718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35FB6-97F2-4E20-9AA5-6BA0165142B5}">
  <sheetPr codeName="Sheet3"/>
  <dimension ref="B1:I27"/>
  <sheetViews>
    <sheetView topLeftCell="B13" workbookViewId="0">
      <selection activeCell="J9" sqref="J9"/>
    </sheetView>
  </sheetViews>
  <sheetFormatPr defaultRowHeight="14.4" x14ac:dyDescent="0.3"/>
  <cols>
    <col min="1" max="1" width="1.88671875" style="1" customWidth="1"/>
    <col min="2" max="2" width="28.44140625" style="1" customWidth="1"/>
    <col min="3" max="6" width="11.77734375" style="1" customWidth="1"/>
    <col min="7" max="7" width="13" style="1" customWidth="1"/>
    <col min="8" max="8" width="11.77734375" style="1" customWidth="1"/>
    <col min="9" max="9" width="9.33203125" style="1" customWidth="1"/>
    <col min="10" max="10" width="5.33203125" style="1" customWidth="1"/>
    <col min="11" max="11" width="20.88671875" style="1" customWidth="1"/>
    <col min="12" max="13" width="12.5546875" style="1" customWidth="1"/>
    <col min="14" max="14" width="8.88671875" style="1"/>
    <col min="15" max="15" width="16.33203125" style="1" customWidth="1"/>
    <col min="16" max="16384" width="8.88671875" style="1"/>
  </cols>
  <sheetData>
    <row r="1" spans="2:9" ht="15.6" x14ac:dyDescent="0.3">
      <c r="B1" s="133" t="s">
        <v>263</v>
      </c>
      <c r="C1" s="133"/>
    </row>
    <row r="3" spans="2:9" x14ac:dyDescent="0.3">
      <c r="B3" s="186" t="s">
        <v>215</v>
      </c>
      <c r="C3" s="302" t="s">
        <v>217</v>
      </c>
      <c r="D3" s="303"/>
      <c r="E3" s="302" t="s">
        <v>216</v>
      </c>
      <c r="F3" s="303"/>
      <c r="G3" s="302" t="s">
        <v>219</v>
      </c>
      <c r="H3" s="303"/>
      <c r="I3" s="185" t="s">
        <v>211</v>
      </c>
    </row>
    <row r="4" spans="2:9" x14ac:dyDescent="0.3">
      <c r="B4" s="166" t="s">
        <v>212</v>
      </c>
      <c r="C4" s="314">
        <v>109347.02</v>
      </c>
      <c r="D4" s="315"/>
      <c r="E4" s="306">
        <f>'P&amp;L Forecast'!E8</f>
        <v>16186.08</v>
      </c>
      <c r="F4" s="307"/>
      <c r="G4" s="300">
        <f>'P&amp;L Forecast'!E12</f>
        <v>6968.0799999999981</v>
      </c>
      <c r="H4" s="301"/>
      <c r="I4" s="168">
        <f>G4/E4</f>
        <v>0.43049830471615103</v>
      </c>
    </row>
    <row r="5" spans="2:9" x14ac:dyDescent="0.3">
      <c r="B5" s="166" t="s">
        <v>213</v>
      </c>
      <c r="C5" s="316">
        <v>205943.98</v>
      </c>
      <c r="D5" s="317"/>
      <c r="E5" s="308">
        <v>19515</v>
      </c>
      <c r="F5" s="309"/>
      <c r="G5" s="300">
        <v>11067</v>
      </c>
      <c r="H5" s="301"/>
      <c r="I5" s="170">
        <f>G5/E5</f>
        <v>0.56710222905457341</v>
      </c>
    </row>
    <row r="6" spans="2:9" x14ac:dyDescent="0.3">
      <c r="B6" s="166" t="s">
        <v>214</v>
      </c>
      <c r="C6" s="316">
        <v>503364.67</v>
      </c>
      <c r="D6" s="317"/>
      <c r="E6" s="310">
        <v>60469</v>
      </c>
      <c r="F6" s="311"/>
      <c r="G6" s="300">
        <v>32115</v>
      </c>
      <c r="H6" s="301"/>
      <c r="I6" s="170">
        <f>G6/E6</f>
        <v>0.53109857943739769</v>
      </c>
    </row>
    <row r="7" spans="2:9" x14ac:dyDescent="0.3">
      <c r="B7" s="166" t="s">
        <v>229</v>
      </c>
      <c r="C7" s="316">
        <v>85797</v>
      </c>
      <c r="D7" s="317"/>
      <c r="E7" s="308">
        <v>9136</v>
      </c>
      <c r="F7" s="309"/>
      <c r="G7" s="300">
        <v>4625</v>
      </c>
      <c r="H7" s="301"/>
      <c r="I7" s="170">
        <f>G7/E7</f>
        <v>0.50623905429071803</v>
      </c>
    </row>
    <row r="8" spans="2:9" x14ac:dyDescent="0.3">
      <c r="B8" s="167" t="s">
        <v>218</v>
      </c>
      <c r="C8" s="312">
        <v>101651</v>
      </c>
      <c r="D8" s="313"/>
      <c r="E8" s="298">
        <v>8411</v>
      </c>
      <c r="F8" s="299"/>
      <c r="G8" s="304">
        <f>5338</f>
        <v>5338</v>
      </c>
      <c r="H8" s="305"/>
      <c r="I8" s="169">
        <f>G8/E8</f>
        <v>0.63464510759719417</v>
      </c>
    </row>
    <row r="10" spans="2:9" x14ac:dyDescent="0.3">
      <c r="B10" s="191" t="s">
        <v>223</v>
      </c>
      <c r="C10" s="184" t="s">
        <v>224</v>
      </c>
      <c r="D10" s="184" t="s">
        <v>225</v>
      </c>
      <c r="E10" s="184" t="s">
        <v>226</v>
      </c>
      <c r="F10" s="295" t="s">
        <v>227</v>
      </c>
      <c r="G10" s="295"/>
      <c r="H10" s="183" t="s">
        <v>228</v>
      </c>
    </row>
    <row r="11" spans="2:9" x14ac:dyDescent="0.3">
      <c r="B11" s="187" t="s">
        <v>212</v>
      </c>
      <c r="C11" s="240">
        <f>'P&amp;L'!E35</f>
        <v>86.404485049833838</v>
      </c>
      <c r="D11" s="197">
        <f>'P&amp;L Forecast'!E49</f>
        <v>0.24872653162645544</v>
      </c>
      <c r="E11" s="190">
        <f>'P&amp;L Forecast'!E50</f>
        <v>0.59023053023086991</v>
      </c>
      <c r="F11" s="296">
        <f>'BS Forecast'!E40</f>
        <v>-9.093058768167964</v>
      </c>
      <c r="G11" s="296"/>
      <c r="H11" s="192">
        <v>0.48899999999999999</v>
      </c>
    </row>
    <row r="12" spans="2:9" x14ac:dyDescent="0.3">
      <c r="B12" s="187" t="s">
        <v>213</v>
      </c>
      <c r="C12" s="40">
        <v>40.79</v>
      </c>
      <c r="D12" s="241">
        <v>0.38</v>
      </c>
      <c r="E12" s="242">
        <v>1.35</v>
      </c>
      <c r="F12" s="297">
        <v>-24</v>
      </c>
      <c r="G12" s="297"/>
      <c r="H12" s="193">
        <v>1.69</v>
      </c>
    </row>
    <row r="13" spans="2:9" x14ac:dyDescent="0.3">
      <c r="B13" s="187" t="s">
        <v>214</v>
      </c>
      <c r="C13" s="40">
        <v>43.05</v>
      </c>
      <c r="D13" s="241">
        <v>0.1331</v>
      </c>
      <c r="E13" s="243">
        <v>0.20100000000000001</v>
      </c>
      <c r="F13" s="297">
        <v>-71</v>
      </c>
      <c r="G13" s="297"/>
      <c r="H13" s="192">
        <v>0.27200000000000002</v>
      </c>
    </row>
    <row r="14" spans="2:9" x14ac:dyDescent="0.3">
      <c r="B14" s="187" t="s">
        <v>229</v>
      </c>
      <c r="C14" s="40">
        <v>8.52</v>
      </c>
      <c r="D14" s="241">
        <v>0.1429</v>
      </c>
      <c r="E14" s="243">
        <v>0.22900000000000001</v>
      </c>
      <c r="F14" s="297">
        <v>-58</v>
      </c>
      <c r="G14" s="297"/>
      <c r="H14" s="193">
        <v>0.28100000000000003</v>
      </c>
    </row>
    <row r="15" spans="2:9" x14ac:dyDescent="0.3">
      <c r="B15" s="188" t="s">
        <v>218</v>
      </c>
      <c r="C15" s="194">
        <v>6.33</v>
      </c>
      <c r="D15" s="195">
        <v>0.05</v>
      </c>
      <c r="E15" s="195">
        <v>0.128</v>
      </c>
      <c r="F15" s="294">
        <v>-2</v>
      </c>
      <c r="G15" s="294"/>
      <c r="H15" s="196">
        <v>0.24099999999999999</v>
      </c>
    </row>
    <row r="17" spans="2:8" x14ac:dyDescent="0.3">
      <c r="B17" s="182" t="s">
        <v>220</v>
      </c>
      <c r="C17" s="135">
        <v>2019</v>
      </c>
      <c r="D17" s="136">
        <v>2020</v>
      </c>
      <c r="E17" s="136">
        <v>2021</v>
      </c>
      <c r="F17" s="136">
        <v>2022</v>
      </c>
      <c r="G17" s="136">
        <v>2023</v>
      </c>
      <c r="H17" s="137">
        <v>2024</v>
      </c>
    </row>
    <row r="18" spans="2:8" x14ac:dyDescent="0.3">
      <c r="B18" s="171" t="s">
        <v>212</v>
      </c>
      <c r="C18" s="163">
        <v>10482</v>
      </c>
      <c r="D18" s="163">
        <v>10987</v>
      </c>
      <c r="E18" s="163">
        <v>12379</v>
      </c>
      <c r="F18" s="163">
        <v>13372</v>
      </c>
      <c r="G18" s="163">
        <v>15618</v>
      </c>
      <c r="H18" s="175">
        <f>E4</f>
        <v>16186.08</v>
      </c>
    </row>
    <row r="19" spans="2:8" x14ac:dyDescent="0.3">
      <c r="B19" s="173" t="s">
        <v>222</v>
      </c>
      <c r="D19" s="178">
        <f>D18/C18-1</f>
        <v>4.8177828658652944E-2</v>
      </c>
      <c r="E19" s="178">
        <f t="shared" ref="E19:H19" si="0">E18/D18-1</f>
        <v>0.12669518521889511</v>
      </c>
      <c r="F19" s="178">
        <f t="shared" si="0"/>
        <v>8.0216495678164579E-2</v>
      </c>
      <c r="G19" s="178">
        <f t="shared" si="0"/>
        <v>0.16796290756805266</v>
      </c>
      <c r="H19" s="179">
        <f t="shared" si="0"/>
        <v>3.6373415290049893E-2</v>
      </c>
    </row>
    <row r="20" spans="2:8" x14ac:dyDescent="0.3">
      <c r="B20" s="172" t="s">
        <v>213</v>
      </c>
      <c r="C20" s="163">
        <v>12369</v>
      </c>
      <c r="D20" s="163">
        <v>13350</v>
      </c>
      <c r="E20" s="163">
        <v>14741</v>
      </c>
      <c r="F20" s="163">
        <v>16897</v>
      </c>
      <c r="G20" s="163">
        <v>19126</v>
      </c>
      <c r="H20" s="175">
        <f>E5</f>
        <v>19515</v>
      </c>
    </row>
    <row r="21" spans="2:8" x14ac:dyDescent="0.3">
      <c r="B21" s="173" t="s">
        <v>222</v>
      </c>
      <c r="D21" s="178">
        <f>D20/C20-1</f>
        <v>7.9311181178753243E-2</v>
      </c>
      <c r="E21" s="178">
        <f>E20/D20-1</f>
        <v>0.1041947565543071</v>
      </c>
      <c r="F21" s="178">
        <f t="shared" ref="F21" si="1">F20/E20-1</f>
        <v>0.14625873414286694</v>
      </c>
      <c r="G21" s="178">
        <f t="shared" ref="G21" si="2">G20/F20-1</f>
        <v>0.13191690832692204</v>
      </c>
      <c r="H21" s="179">
        <f t="shared" ref="H21" si="3">H20/G20-1</f>
        <v>2.0338805814074989E-2</v>
      </c>
    </row>
    <row r="22" spans="2:8" x14ac:dyDescent="0.3">
      <c r="B22" s="172" t="s">
        <v>214</v>
      </c>
      <c r="C22" s="163">
        <v>38224</v>
      </c>
      <c r="D22" s="163">
        <v>38785</v>
      </c>
      <c r="E22" s="163">
        <v>45996</v>
      </c>
      <c r="F22" s="163">
        <v>51193</v>
      </c>
      <c r="G22" s="163">
        <v>59144</v>
      </c>
      <c r="H22" s="175">
        <f>E6</f>
        <v>60469</v>
      </c>
    </row>
    <row r="23" spans="2:8" x14ac:dyDescent="0.3">
      <c r="B23" s="173" t="s">
        <v>222</v>
      </c>
      <c r="D23" s="178">
        <f>D22/C22-1</f>
        <v>1.467664294683968E-2</v>
      </c>
      <c r="E23" s="178">
        <f>E22/D22-1</f>
        <v>0.18592239267758148</v>
      </c>
      <c r="F23" s="178">
        <f t="shared" ref="F23" si="4">F22/E22-1</f>
        <v>0.11298808592051479</v>
      </c>
      <c r="G23" s="178">
        <f t="shared" ref="G23" si="5">G22/F22-1</f>
        <v>0.15531420311370692</v>
      </c>
      <c r="H23" s="179">
        <f t="shared" ref="H23" si="6">H22/G22-1</f>
        <v>2.240294873529014E-2</v>
      </c>
    </row>
    <row r="24" spans="2:8" x14ac:dyDescent="0.3">
      <c r="B24" s="172" t="s">
        <v>229</v>
      </c>
      <c r="C24" s="163">
        <v>6273</v>
      </c>
      <c r="D24" s="163">
        <v>6310</v>
      </c>
      <c r="E24" s="163">
        <v>7185</v>
      </c>
      <c r="F24" s="163">
        <v>8180</v>
      </c>
      <c r="G24" s="163">
        <v>8684</v>
      </c>
      <c r="H24" s="175">
        <v>9136</v>
      </c>
    </row>
    <row r="25" spans="2:8" x14ac:dyDescent="0.3">
      <c r="B25" s="173" t="s">
        <v>222</v>
      </c>
      <c r="D25" s="178">
        <f>D24/C24-1</f>
        <v>5.8982942770604563E-3</v>
      </c>
      <c r="E25" s="178">
        <f t="shared" ref="E25" si="7">E24/D24-1</f>
        <v>0.13866877971473857</v>
      </c>
      <c r="F25" s="178">
        <f>F24/E24-1</f>
        <v>0.13848295059151017</v>
      </c>
      <c r="G25" s="178">
        <f t="shared" ref="G25" si="8">G24/F24-1</f>
        <v>6.1613691931540426E-2</v>
      </c>
      <c r="H25" s="179">
        <f t="shared" ref="H25" si="9">H24/G24-1</f>
        <v>5.2049746660525198E-2</v>
      </c>
    </row>
    <row r="26" spans="2:8" x14ac:dyDescent="0.3">
      <c r="B26" s="172" t="s">
        <v>218</v>
      </c>
      <c r="C26" s="163">
        <v>5679</v>
      </c>
      <c r="D26" s="163">
        <v>5474</v>
      </c>
      <c r="E26" s="163">
        <v>6254</v>
      </c>
      <c r="F26" s="163">
        <v>6952</v>
      </c>
      <c r="G26" s="163">
        <v>7667</v>
      </c>
      <c r="H26" s="175">
        <f>E8</f>
        <v>8411</v>
      </c>
    </row>
    <row r="27" spans="2:8" x14ac:dyDescent="0.3">
      <c r="B27" s="174" t="s">
        <v>222</v>
      </c>
      <c r="C27" s="87"/>
      <c r="D27" s="180">
        <f>D26/C26-1</f>
        <v>-3.6097904560662086E-2</v>
      </c>
      <c r="E27" s="180">
        <f t="shared" ref="E27" si="10">E26/D26-1</f>
        <v>0.14249177932042389</v>
      </c>
      <c r="F27" s="180">
        <f t="shared" ref="F27" si="11">F26/E26-1</f>
        <v>0.11160857051487039</v>
      </c>
      <c r="G27" s="180">
        <f t="shared" ref="G27" si="12">G26/F26-1</f>
        <v>0.10284810126582289</v>
      </c>
      <c r="H27" s="181">
        <f t="shared" ref="H27" si="13">H26/G26-1</f>
        <v>9.7039259162644997E-2</v>
      </c>
    </row>
  </sheetData>
  <mergeCells count="24">
    <mergeCell ref="C8:D8"/>
    <mergeCell ref="C3:D3"/>
    <mergeCell ref="C4:D4"/>
    <mergeCell ref="C5:D5"/>
    <mergeCell ref="C6:D6"/>
    <mergeCell ref="C7:D7"/>
    <mergeCell ref="E8:F8"/>
    <mergeCell ref="G4:H4"/>
    <mergeCell ref="G3:H3"/>
    <mergeCell ref="G5:H5"/>
    <mergeCell ref="G6:H6"/>
    <mergeCell ref="G7:H7"/>
    <mergeCell ref="G8:H8"/>
    <mergeCell ref="E3:F3"/>
    <mergeCell ref="E4:F4"/>
    <mergeCell ref="E5:F5"/>
    <mergeCell ref="E6:F6"/>
    <mergeCell ref="E7:F7"/>
    <mergeCell ref="F15:G15"/>
    <mergeCell ref="F10:G10"/>
    <mergeCell ref="F11:G11"/>
    <mergeCell ref="F12:G12"/>
    <mergeCell ref="F13:G13"/>
    <mergeCell ref="F14:G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E27C-9329-4EF1-895C-325C0DE41253}">
  <dimension ref="B1:K22"/>
  <sheetViews>
    <sheetView workbookViewId="0">
      <selection activeCell="I8" sqref="I8"/>
    </sheetView>
  </sheetViews>
  <sheetFormatPr defaultRowHeight="14.4" x14ac:dyDescent="0.3"/>
  <cols>
    <col min="1" max="1" width="1.88671875" style="1" customWidth="1"/>
    <col min="2" max="2" width="31.109375" style="1" customWidth="1"/>
    <col min="3" max="3" width="16.6640625" style="1" customWidth="1"/>
    <col min="4" max="4" width="11.44140625" style="1" customWidth="1"/>
    <col min="5" max="5" width="8.88671875" style="1"/>
    <col min="6" max="6" width="37.77734375" style="1" customWidth="1"/>
    <col min="7" max="7" width="16.44140625" style="1" customWidth="1"/>
    <col min="8" max="8" width="12.44140625" style="1" customWidth="1"/>
    <col min="9" max="9" width="37.77734375" style="1" customWidth="1"/>
    <col min="10" max="10" width="16" style="1" customWidth="1"/>
    <col min="11" max="11" width="12.44140625" style="1" customWidth="1"/>
    <col min="12" max="16384" width="8.88671875" style="1"/>
  </cols>
  <sheetData>
    <row r="1" spans="2:11" ht="15.6" x14ac:dyDescent="0.3">
      <c r="B1" s="133" t="s">
        <v>273</v>
      </c>
      <c r="C1" s="129"/>
    </row>
    <row r="3" spans="2:11" x14ac:dyDescent="0.3">
      <c r="B3" s="186" t="s">
        <v>275</v>
      </c>
      <c r="C3" s="225" t="s">
        <v>279</v>
      </c>
      <c r="D3" s="137" t="s">
        <v>196</v>
      </c>
      <c r="F3" s="318" t="s">
        <v>277</v>
      </c>
      <c r="G3" s="319"/>
      <c r="H3" s="320"/>
      <c r="I3" s="234"/>
      <c r="J3" s="138"/>
      <c r="K3" s="138"/>
    </row>
    <row r="4" spans="2:11" x14ac:dyDescent="0.3">
      <c r="B4" s="79" t="s">
        <v>276</v>
      </c>
      <c r="C4" s="220">
        <v>0.77600000000000002</v>
      </c>
      <c r="D4" s="176">
        <f>C4*$D$7</f>
        <v>12560.398080000001</v>
      </c>
      <c r="F4" s="230" t="s">
        <v>280</v>
      </c>
      <c r="G4" s="225" t="s">
        <v>281</v>
      </c>
      <c r="H4" s="137" t="s">
        <v>282</v>
      </c>
      <c r="I4" s="127"/>
      <c r="J4" s="127"/>
      <c r="K4" s="127"/>
    </row>
    <row r="5" spans="2:11" x14ac:dyDescent="0.3">
      <c r="B5" s="79" t="s">
        <v>277</v>
      </c>
      <c r="C5" s="220">
        <v>0.124</v>
      </c>
      <c r="D5" s="176">
        <f t="shared" ref="D5:D6" si="0">C5*$D$7</f>
        <v>2007.07392</v>
      </c>
      <c r="F5" s="79" t="s">
        <v>283</v>
      </c>
      <c r="G5" s="228">
        <v>0.9</v>
      </c>
      <c r="H5" s="229">
        <f t="shared" ref="H5:H10" si="1">G5*$H$11</f>
        <v>8001</v>
      </c>
    </row>
    <row r="6" spans="2:11" x14ac:dyDescent="0.3">
      <c r="B6" s="79" t="s">
        <v>270</v>
      </c>
      <c r="C6" s="220">
        <v>0.1</v>
      </c>
      <c r="D6" s="176">
        <f t="shared" si="0"/>
        <v>1618.6080000000002</v>
      </c>
      <c r="F6" s="79" t="s">
        <v>265</v>
      </c>
      <c r="G6" s="228">
        <v>0.05</v>
      </c>
      <c r="H6" s="229">
        <f t="shared" si="1"/>
        <v>444.5</v>
      </c>
    </row>
    <row r="7" spans="2:11" x14ac:dyDescent="0.3">
      <c r="B7" s="82" t="s">
        <v>278</v>
      </c>
      <c r="C7" s="223">
        <v>1</v>
      </c>
      <c r="D7" s="224">
        <f>'P&amp;L Forecast'!E8</f>
        <v>16186.08</v>
      </c>
      <c r="F7" s="79" t="s">
        <v>284</v>
      </c>
      <c r="G7" s="228">
        <v>0.02</v>
      </c>
      <c r="H7" s="229">
        <f t="shared" si="1"/>
        <v>177.8</v>
      </c>
    </row>
    <row r="8" spans="2:11" x14ac:dyDescent="0.3">
      <c r="F8" s="79" t="s">
        <v>285</v>
      </c>
      <c r="G8" s="228">
        <v>0.01</v>
      </c>
      <c r="H8" s="229">
        <f t="shared" si="1"/>
        <v>88.9</v>
      </c>
    </row>
    <row r="9" spans="2:11" x14ac:dyDescent="0.3">
      <c r="F9" s="227" t="s">
        <v>286</v>
      </c>
      <c r="G9" s="228">
        <v>0.01</v>
      </c>
      <c r="H9" s="229">
        <f t="shared" si="1"/>
        <v>88.9</v>
      </c>
    </row>
    <row r="10" spans="2:11" x14ac:dyDescent="0.3">
      <c r="F10" s="79" t="s">
        <v>270</v>
      </c>
      <c r="G10" s="228">
        <v>0.01</v>
      </c>
      <c r="H10" s="229">
        <f t="shared" si="1"/>
        <v>88.9</v>
      </c>
    </row>
    <row r="11" spans="2:11" x14ac:dyDescent="0.3">
      <c r="B11" s="290" t="s">
        <v>274</v>
      </c>
      <c r="C11" s="291"/>
      <c r="D11" s="292"/>
      <c r="F11" s="82" t="s">
        <v>287</v>
      </c>
      <c r="G11" s="231">
        <v>1</v>
      </c>
      <c r="H11" s="224">
        <v>8890</v>
      </c>
    </row>
    <row r="12" spans="2:11" x14ac:dyDescent="0.3">
      <c r="B12" s="186" t="s">
        <v>271</v>
      </c>
      <c r="C12" s="225" t="s">
        <v>272</v>
      </c>
      <c r="D12" s="137" t="s">
        <v>196</v>
      </c>
      <c r="F12" s="186" t="s">
        <v>291</v>
      </c>
      <c r="G12" s="225" t="s">
        <v>281</v>
      </c>
      <c r="H12" s="137" t="s">
        <v>282</v>
      </c>
    </row>
    <row r="13" spans="2:11" x14ac:dyDescent="0.3">
      <c r="B13" s="166" t="s">
        <v>265</v>
      </c>
      <c r="C13" s="221">
        <v>0.31</v>
      </c>
      <c r="D13" s="226">
        <f t="shared" ref="D13:D18" si="2">C13*$D$19</f>
        <v>12563.99</v>
      </c>
      <c r="F13" s="78" t="s">
        <v>283</v>
      </c>
      <c r="G13" s="233">
        <v>0.25</v>
      </c>
      <c r="H13" s="232">
        <f>G13*$H$19</f>
        <v>1582.5</v>
      </c>
    </row>
    <row r="14" spans="2:11" x14ac:dyDescent="0.3">
      <c r="B14" s="166" t="s">
        <v>266</v>
      </c>
      <c r="C14" s="221">
        <v>0.28999999999999998</v>
      </c>
      <c r="D14" s="226">
        <f>C14*$D$19</f>
        <v>11753.41</v>
      </c>
      <c r="F14" s="79" t="s">
        <v>285</v>
      </c>
      <c r="G14" s="228">
        <v>0.2</v>
      </c>
      <c r="H14" s="214">
        <f t="shared" ref="H14:H18" si="3">G14*$H$19</f>
        <v>1266</v>
      </c>
    </row>
    <row r="15" spans="2:11" x14ac:dyDescent="0.3">
      <c r="B15" s="166" t="s">
        <v>267</v>
      </c>
      <c r="C15" s="221">
        <v>0.12</v>
      </c>
      <c r="D15" s="226">
        <f>C15*$D$19</f>
        <v>4863.4799999999996</v>
      </c>
      <c r="F15" s="79" t="s">
        <v>265</v>
      </c>
      <c r="G15" s="228">
        <v>0.15</v>
      </c>
      <c r="H15" s="214">
        <f t="shared" si="3"/>
        <v>949.5</v>
      </c>
    </row>
    <row r="16" spans="2:11" x14ac:dyDescent="0.3">
      <c r="B16" s="166" t="s">
        <v>268</v>
      </c>
      <c r="C16" s="221">
        <v>0.05</v>
      </c>
      <c r="D16" s="226">
        <f t="shared" si="2"/>
        <v>2026.45</v>
      </c>
      <c r="F16" s="79" t="s">
        <v>288</v>
      </c>
      <c r="G16" s="228">
        <v>0.1</v>
      </c>
      <c r="H16" s="214">
        <f t="shared" si="3"/>
        <v>633</v>
      </c>
    </row>
    <row r="17" spans="2:8" x14ac:dyDescent="0.3">
      <c r="B17" s="166" t="s">
        <v>269</v>
      </c>
      <c r="C17" s="221">
        <v>0.04</v>
      </c>
      <c r="D17" s="226">
        <f t="shared" si="2"/>
        <v>1621.16</v>
      </c>
      <c r="F17" s="79" t="s">
        <v>289</v>
      </c>
      <c r="G17" s="228">
        <v>0.05</v>
      </c>
      <c r="H17" s="214">
        <f t="shared" si="3"/>
        <v>316.5</v>
      </c>
    </row>
    <row r="18" spans="2:8" x14ac:dyDescent="0.3">
      <c r="B18" s="166" t="s">
        <v>270</v>
      </c>
      <c r="C18" s="221">
        <v>0.19</v>
      </c>
      <c r="D18" s="226">
        <f t="shared" si="2"/>
        <v>7700.51</v>
      </c>
      <c r="F18" s="79" t="s">
        <v>270</v>
      </c>
      <c r="G18" s="228">
        <v>0.25</v>
      </c>
      <c r="H18" s="214">
        <f t="shared" si="3"/>
        <v>1582.5</v>
      </c>
    </row>
    <row r="19" spans="2:8" x14ac:dyDescent="0.3">
      <c r="B19" s="185" t="s">
        <v>264</v>
      </c>
      <c r="C19" s="222">
        <v>1</v>
      </c>
      <c r="D19" s="185">
        <v>40529</v>
      </c>
      <c r="F19" s="82" t="s">
        <v>290</v>
      </c>
      <c r="G19" s="231">
        <v>1</v>
      </c>
      <c r="H19" s="224">
        <v>6330</v>
      </c>
    </row>
    <row r="22" spans="2:8" x14ac:dyDescent="0.3">
      <c r="B22" s="1" t="s">
        <v>297</v>
      </c>
    </row>
  </sheetData>
  <mergeCells count="2">
    <mergeCell ref="B11:D11"/>
    <mergeCell ref="F3:H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069EF-926B-4604-8E13-ECF4696C5E5A}">
  <dimension ref="B1:O89"/>
  <sheetViews>
    <sheetView topLeftCell="A60" zoomScaleNormal="100" workbookViewId="0">
      <selection activeCell="S16" sqref="S16"/>
    </sheetView>
  </sheetViews>
  <sheetFormatPr defaultRowHeight="14.4" x14ac:dyDescent="0.3"/>
  <cols>
    <col min="1" max="1" width="1.88671875" style="1" customWidth="1"/>
    <col min="2" max="2" width="25.109375" style="1" customWidth="1"/>
    <col min="3" max="3" width="14.88671875" style="1" customWidth="1"/>
    <col min="4" max="16384" width="8.88671875" style="1"/>
  </cols>
  <sheetData>
    <row r="1" spans="2:15" ht="15.6" x14ac:dyDescent="0.3">
      <c r="B1" s="133" t="s">
        <v>221</v>
      </c>
      <c r="C1" s="129"/>
    </row>
    <row r="3" spans="2:15" x14ac:dyDescent="0.3">
      <c r="B3" s="284"/>
      <c r="C3" s="204"/>
      <c r="D3" s="204"/>
      <c r="E3" s="204"/>
      <c r="F3" s="204"/>
      <c r="G3" s="204"/>
      <c r="H3" s="204"/>
      <c r="I3" s="204"/>
      <c r="J3" s="204"/>
      <c r="K3" s="204"/>
      <c r="L3" s="204"/>
      <c r="M3" s="204"/>
      <c r="N3" s="204"/>
      <c r="O3" s="205"/>
    </row>
    <row r="4" spans="2:15" x14ac:dyDescent="0.3">
      <c r="B4" s="16"/>
      <c r="O4" s="176"/>
    </row>
    <row r="5" spans="2:15" x14ac:dyDescent="0.3">
      <c r="B5" s="16"/>
      <c r="O5" s="176"/>
    </row>
    <row r="6" spans="2:15" x14ac:dyDescent="0.3">
      <c r="B6" s="16"/>
      <c r="O6" s="176"/>
    </row>
    <row r="7" spans="2:15" x14ac:dyDescent="0.3">
      <c r="B7" s="16"/>
      <c r="O7" s="176"/>
    </row>
    <row r="8" spans="2:15" x14ac:dyDescent="0.3">
      <c r="B8" s="16"/>
      <c r="O8" s="176"/>
    </row>
    <row r="9" spans="2:15" x14ac:dyDescent="0.3">
      <c r="B9" s="16"/>
      <c r="O9" s="176"/>
    </row>
    <row r="10" spans="2:15" x14ac:dyDescent="0.3">
      <c r="B10" s="16"/>
      <c r="O10" s="176"/>
    </row>
    <row r="11" spans="2:15" x14ac:dyDescent="0.3">
      <c r="B11" s="16"/>
      <c r="O11" s="176"/>
    </row>
    <row r="12" spans="2:15" x14ac:dyDescent="0.3">
      <c r="B12" s="16"/>
      <c r="O12" s="176"/>
    </row>
    <row r="13" spans="2:15" x14ac:dyDescent="0.3">
      <c r="B13" s="16"/>
      <c r="O13" s="176"/>
    </row>
    <row r="14" spans="2:15" x14ac:dyDescent="0.3">
      <c r="B14" s="16"/>
      <c r="O14" s="176"/>
    </row>
    <row r="15" spans="2:15" x14ac:dyDescent="0.3">
      <c r="B15" s="16"/>
      <c r="O15" s="176"/>
    </row>
    <row r="16" spans="2:15" x14ac:dyDescent="0.3">
      <c r="B16" s="16"/>
      <c r="O16" s="176"/>
    </row>
    <row r="17" spans="2:15" x14ac:dyDescent="0.3">
      <c r="B17" s="16"/>
      <c r="O17" s="176"/>
    </row>
    <row r="18" spans="2:15" x14ac:dyDescent="0.3">
      <c r="B18" s="16"/>
      <c r="O18" s="176"/>
    </row>
    <row r="19" spans="2:15" x14ac:dyDescent="0.3">
      <c r="B19" s="16"/>
      <c r="O19" s="176"/>
    </row>
    <row r="20" spans="2:15" x14ac:dyDescent="0.3">
      <c r="B20" s="16"/>
      <c r="O20" s="176"/>
    </row>
    <row r="21" spans="2:15" x14ac:dyDescent="0.3">
      <c r="B21" s="16"/>
      <c r="O21" s="176"/>
    </row>
    <row r="22" spans="2:15" x14ac:dyDescent="0.3">
      <c r="B22" s="16"/>
      <c r="O22" s="176"/>
    </row>
    <row r="23" spans="2:15" x14ac:dyDescent="0.3">
      <c r="B23" s="16"/>
      <c r="O23" s="176"/>
    </row>
    <row r="24" spans="2:15" x14ac:dyDescent="0.3">
      <c r="B24" s="16"/>
      <c r="O24" s="176"/>
    </row>
    <row r="25" spans="2:15" x14ac:dyDescent="0.3">
      <c r="B25" s="16"/>
      <c r="O25" s="176"/>
    </row>
    <row r="26" spans="2:15" x14ac:dyDescent="0.3">
      <c r="B26" s="16"/>
      <c r="O26" s="176"/>
    </row>
    <row r="27" spans="2:15" x14ac:dyDescent="0.3">
      <c r="B27" s="16"/>
      <c r="O27" s="176"/>
    </row>
    <row r="28" spans="2:15" x14ac:dyDescent="0.3">
      <c r="B28" s="16"/>
      <c r="O28" s="176"/>
    </row>
    <row r="29" spans="2:15" x14ac:dyDescent="0.3">
      <c r="B29" s="16"/>
      <c r="O29" s="176"/>
    </row>
    <row r="30" spans="2:15" x14ac:dyDescent="0.3">
      <c r="B30" s="16"/>
      <c r="O30" s="176"/>
    </row>
    <row r="31" spans="2:15" x14ac:dyDescent="0.3">
      <c r="B31" s="16"/>
      <c r="O31" s="176"/>
    </row>
    <row r="32" spans="2:15" x14ac:dyDescent="0.3">
      <c r="B32" s="16"/>
      <c r="O32" s="176"/>
    </row>
    <row r="33" spans="2:15" x14ac:dyDescent="0.3">
      <c r="B33" s="16"/>
      <c r="O33" s="176"/>
    </row>
    <row r="34" spans="2:15" x14ac:dyDescent="0.3">
      <c r="B34" s="16"/>
      <c r="O34" s="176"/>
    </row>
    <row r="35" spans="2:15" x14ac:dyDescent="0.3">
      <c r="B35" s="16"/>
      <c r="O35" s="176"/>
    </row>
    <row r="36" spans="2:15" x14ac:dyDescent="0.3">
      <c r="B36" s="16"/>
      <c r="O36" s="176"/>
    </row>
    <row r="37" spans="2:15" x14ac:dyDescent="0.3">
      <c r="B37" s="16"/>
      <c r="O37" s="176"/>
    </row>
    <row r="38" spans="2:15" x14ac:dyDescent="0.3">
      <c r="B38" s="16"/>
      <c r="O38" s="176"/>
    </row>
    <row r="39" spans="2:15" x14ac:dyDescent="0.3">
      <c r="B39" s="16"/>
      <c r="O39" s="176"/>
    </row>
    <row r="40" spans="2:15" x14ac:dyDescent="0.3">
      <c r="B40" s="16"/>
      <c r="O40" s="176"/>
    </row>
    <row r="41" spans="2:15" x14ac:dyDescent="0.3">
      <c r="B41" s="16"/>
      <c r="O41" s="176"/>
    </row>
    <row r="42" spans="2:15" x14ac:dyDescent="0.3">
      <c r="B42" s="16"/>
      <c r="O42" s="176"/>
    </row>
    <row r="43" spans="2:15" x14ac:dyDescent="0.3">
      <c r="B43" s="16"/>
      <c r="O43" s="176"/>
    </row>
    <row r="44" spans="2:15" x14ac:dyDescent="0.3">
      <c r="B44" s="16"/>
      <c r="O44" s="176"/>
    </row>
    <row r="45" spans="2:15" x14ac:dyDescent="0.3">
      <c r="B45" s="16"/>
      <c r="O45" s="176"/>
    </row>
    <row r="46" spans="2:15" x14ac:dyDescent="0.3">
      <c r="B46" s="16"/>
      <c r="O46" s="176"/>
    </row>
    <row r="47" spans="2:15" x14ac:dyDescent="0.3">
      <c r="B47" s="16"/>
      <c r="O47" s="176"/>
    </row>
    <row r="48" spans="2:15" x14ac:dyDescent="0.3">
      <c r="B48" s="16"/>
      <c r="O48" s="176"/>
    </row>
    <row r="49" spans="2:15" x14ac:dyDescent="0.3">
      <c r="B49" s="16"/>
      <c r="O49" s="176"/>
    </row>
    <row r="50" spans="2:15" x14ac:dyDescent="0.3">
      <c r="B50" s="16"/>
      <c r="O50" s="176"/>
    </row>
    <row r="51" spans="2:15" x14ac:dyDescent="0.3">
      <c r="B51" s="16"/>
      <c r="O51" s="176"/>
    </row>
    <row r="52" spans="2:15" x14ac:dyDescent="0.3">
      <c r="B52" s="16"/>
      <c r="O52" s="176"/>
    </row>
    <row r="53" spans="2:15" x14ac:dyDescent="0.3">
      <c r="B53" s="16"/>
      <c r="O53" s="176"/>
    </row>
    <row r="54" spans="2:15" x14ac:dyDescent="0.3">
      <c r="B54" s="16"/>
      <c r="O54" s="176"/>
    </row>
    <row r="55" spans="2:15" x14ac:dyDescent="0.3">
      <c r="B55" s="16"/>
      <c r="O55" s="176"/>
    </row>
    <row r="56" spans="2:15" x14ac:dyDescent="0.3">
      <c r="B56" s="16"/>
      <c r="O56" s="176"/>
    </row>
    <row r="57" spans="2:15" x14ac:dyDescent="0.3">
      <c r="B57" s="16"/>
      <c r="O57" s="176"/>
    </row>
    <row r="58" spans="2:15" x14ac:dyDescent="0.3">
      <c r="B58" s="16"/>
      <c r="O58" s="176"/>
    </row>
    <row r="59" spans="2:15" x14ac:dyDescent="0.3">
      <c r="B59" s="16"/>
      <c r="O59" s="176"/>
    </row>
    <row r="60" spans="2:15" x14ac:dyDescent="0.3">
      <c r="B60" s="16"/>
      <c r="O60" s="176"/>
    </row>
    <row r="61" spans="2:15" x14ac:dyDescent="0.3">
      <c r="B61" s="16"/>
      <c r="O61" s="176"/>
    </row>
    <row r="62" spans="2:15" x14ac:dyDescent="0.3">
      <c r="B62" s="16"/>
      <c r="O62" s="176"/>
    </row>
    <row r="63" spans="2:15" x14ac:dyDescent="0.3">
      <c r="B63" s="16"/>
      <c r="O63" s="176"/>
    </row>
    <row r="64" spans="2:15" x14ac:dyDescent="0.3">
      <c r="B64" s="16"/>
      <c r="O64" s="176"/>
    </row>
    <row r="65" spans="2:15" x14ac:dyDescent="0.3">
      <c r="B65" s="16"/>
      <c r="O65" s="176"/>
    </row>
    <row r="66" spans="2:15" x14ac:dyDescent="0.3">
      <c r="B66" s="16"/>
      <c r="O66" s="176"/>
    </row>
    <row r="67" spans="2:15" x14ac:dyDescent="0.3">
      <c r="B67" s="16"/>
      <c r="O67" s="176"/>
    </row>
    <row r="68" spans="2:15" x14ac:dyDescent="0.3">
      <c r="B68" s="16"/>
      <c r="O68" s="176"/>
    </row>
    <row r="69" spans="2:15" x14ac:dyDescent="0.3">
      <c r="B69" s="16"/>
      <c r="O69" s="176"/>
    </row>
    <row r="70" spans="2:15" x14ac:dyDescent="0.3">
      <c r="B70" s="16"/>
      <c r="O70" s="176"/>
    </row>
    <row r="71" spans="2:15" x14ac:dyDescent="0.3">
      <c r="B71" s="16"/>
      <c r="O71" s="176"/>
    </row>
    <row r="72" spans="2:15" x14ac:dyDescent="0.3">
      <c r="B72" s="16"/>
      <c r="O72" s="176"/>
    </row>
    <row r="73" spans="2:15" x14ac:dyDescent="0.3">
      <c r="B73" s="16"/>
      <c r="O73" s="176"/>
    </row>
    <row r="74" spans="2:15" x14ac:dyDescent="0.3">
      <c r="B74" s="16"/>
      <c r="O74" s="176"/>
    </row>
    <row r="75" spans="2:15" x14ac:dyDescent="0.3">
      <c r="B75" s="16"/>
      <c r="O75" s="176"/>
    </row>
    <row r="76" spans="2:15" x14ac:dyDescent="0.3">
      <c r="B76" s="16"/>
      <c r="O76" s="176"/>
    </row>
    <row r="77" spans="2:15" x14ac:dyDescent="0.3">
      <c r="B77" s="16"/>
      <c r="O77" s="176"/>
    </row>
    <row r="78" spans="2:15" x14ac:dyDescent="0.3">
      <c r="B78" s="16"/>
      <c r="O78" s="176"/>
    </row>
    <row r="79" spans="2:15" x14ac:dyDescent="0.3">
      <c r="B79" s="16"/>
      <c r="O79" s="176"/>
    </row>
    <row r="80" spans="2:15" x14ac:dyDescent="0.3">
      <c r="B80" s="16"/>
      <c r="O80" s="176"/>
    </row>
    <row r="81" spans="2:15" x14ac:dyDescent="0.3">
      <c r="B81" s="16"/>
      <c r="O81" s="176"/>
    </row>
    <row r="82" spans="2:15" x14ac:dyDescent="0.3">
      <c r="B82" s="16"/>
      <c r="O82" s="176"/>
    </row>
    <row r="83" spans="2:15" x14ac:dyDescent="0.3">
      <c r="B83" s="16"/>
      <c r="O83" s="176"/>
    </row>
    <row r="84" spans="2:15" x14ac:dyDescent="0.3">
      <c r="B84" s="16"/>
      <c r="O84" s="176"/>
    </row>
    <row r="85" spans="2:15" x14ac:dyDescent="0.3">
      <c r="B85" s="16"/>
      <c r="O85" s="176"/>
    </row>
    <row r="86" spans="2:15" x14ac:dyDescent="0.3">
      <c r="B86" s="16"/>
      <c r="O86" s="176"/>
    </row>
    <row r="87" spans="2:15" x14ac:dyDescent="0.3">
      <c r="B87" s="16"/>
      <c r="O87" s="176"/>
    </row>
    <row r="88" spans="2:15" x14ac:dyDescent="0.3">
      <c r="B88" s="16"/>
      <c r="O88" s="176"/>
    </row>
    <row r="89" spans="2:15" x14ac:dyDescent="0.3">
      <c r="B89" s="97"/>
      <c r="C89" s="87"/>
      <c r="D89" s="87"/>
      <c r="E89" s="87"/>
      <c r="F89" s="87"/>
      <c r="G89" s="87"/>
      <c r="H89" s="87"/>
      <c r="I89" s="87"/>
      <c r="J89" s="87"/>
      <c r="K89" s="87"/>
      <c r="L89" s="87"/>
      <c r="M89" s="87"/>
      <c r="N89" s="87"/>
      <c r="O89" s="8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2EA32-CBAA-4DB2-8C0F-F1F67383ECC5}">
  <sheetPr codeName="Sheet4">
    <tabColor rgb="FFFF0000"/>
  </sheetPr>
  <dimension ref="A1"/>
  <sheetViews>
    <sheetView workbookViewId="0"/>
  </sheetViews>
  <sheetFormatPr defaultRowHeight="14.4" x14ac:dyDescent="0.3"/>
  <cols>
    <col min="1" max="16384" width="8.88671875" style="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6911-30CF-4DDA-B5BB-3688E8C30CEE}">
  <sheetPr codeName="Sheet5">
    <tabColor theme="0"/>
  </sheetPr>
  <dimension ref="B1:L53"/>
  <sheetViews>
    <sheetView zoomScale="92" zoomScaleNormal="100" workbookViewId="0">
      <pane ySplit="7" topLeftCell="A8" activePane="bottomLeft" state="frozen"/>
      <selection pane="bottomLeft" activeCell="M13" sqref="M13"/>
    </sheetView>
  </sheetViews>
  <sheetFormatPr defaultRowHeight="14.4" outlineLevelRow="1" x14ac:dyDescent="0.3"/>
  <cols>
    <col min="1" max="1" width="1.88671875" style="1" customWidth="1"/>
    <col min="2" max="2" width="66" style="1" customWidth="1"/>
    <col min="3" max="5" width="11.77734375" style="1" customWidth="1"/>
    <col min="6" max="6" width="2" style="1" customWidth="1"/>
    <col min="7" max="11" width="11.77734375" style="1" customWidth="1"/>
    <col min="12" max="16384" width="8.88671875" style="1"/>
  </cols>
  <sheetData>
    <row r="1" spans="2:12" ht="17.399999999999999" x14ac:dyDescent="0.3">
      <c r="B1" s="321" t="s">
        <v>48</v>
      </c>
      <c r="C1" s="321"/>
      <c r="D1" s="5"/>
    </row>
    <row r="2" spans="2:12" ht="15.6" x14ac:dyDescent="0.3">
      <c r="B2" s="5"/>
      <c r="C2" s="45">
        <v>2</v>
      </c>
    </row>
    <row r="3" spans="2:12" ht="15.6" x14ac:dyDescent="0.3">
      <c r="B3" s="5"/>
      <c r="C3" s="5"/>
    </row>
    <row r="4" spans="2:12" ht="15.6" x14ac:dyDescent="0.3">
      <c r="B4" s="5"/>
      <c r="C4" s="5"/>
    </row>
    <row r="5" spans="2:12" ht="15.6" x14ac:dyDescent="0.3">
      <c r="B5" s="5"/>
      <c r="C5" s="5"/>
      <c r="D5" s="5"/>
    </row>
    <row r="6" spans="2:12" x14ac:dyDescent="0.3">
      <c r="B6" s="40"/>
      <c r="C6" s="322" t="s">
        <v>70</v>
      </c>
      <c r="D6" s="322"/>
      <c r="E6" s="322"/>
      <c r="F6" s="140"/>
      <c r="G6" s="323" t="s">
        <v>69</v>
      </c>
      <c r="H6" s="324"/>
      <c r="I6" s="324"/>
      <c r="J6" s="324"/>
      <c r="K6" s="324"/>
      <c r="L6" s="325" t="s">
        <v>152</v>
      </c>
    </row>
    <row r="7" spans="2:12" ht="15" thickBot="1" x14ac:dyDescent="0.35">
      <c r="B7" s="10" t="s">
        <v>80</v>
      </c>
      <c r="C7" s="11">
        <v>44651</v>
      </c>
      <c r="D7" s="11">
        <v>45016</v>
      </c>
      <c r="E7" s="11">
        <v>45382</v>
      </c>
      <c r="F7" s="31"/>
      <c r="G7" s="11">
        <v>45747</v>
      </c>
      <c r="H7" s="11">
        <v>46112</v>
      </c>
      <c r="I7" s="11">
        <v>46477</v>
      </c>
      <c r="J7" s="11">
        <v>46843</v>
      </c>
      <c r="K7" s="11">
        <v>47208</v>
      </c>
      <c r="L7" s="325"/>
    </row>
    <row r="8" spans="2:12" x14ac:dyDescent="0.3">
      <c r="B8" s="1" t="s">
        <v>55</v>
      </c>
      <c r="C8" s="1">
        <f>SUMIF('P&amp;L'!$B$4:$B$28,'P&amp;L Forecast'!$B8,'P&amp;L'!C$4:C$28)</f>
        <v>13371.62</v>
      </c>
      <c r="D8" s="1">
        <f>SUMIF('P&amp;L'!$B$4:$B$28,'P&amp;L Forecast'!$B8,'P&amp;L'!D$4:D$28)</f>
        <v>15618.42</v>
      </c>
      <c r="E8" s="1">
        <f>SUMIF('P&amp;L'!$B$4:$B$28,'P&amp;L Forecast'!$B8,'P&amp;L'!E$4:E$28)</f>
        <v>16186.08</v>
      </c>
      <c r="G8" s="36">
        <f>E8*(1+G$23)</f>
        <v>16833.5232</v>
      </c>
      <c r="H8" s="36">
        <f>G8*(1+H$23)</f>
        <v>17506.864128000001</v>
      </c>
      <c r="I8" s="36">
        <f>H8*(1+I$23)</f>
        <v>18207.138693120003</v>
      </c>
      <c r="J8" s="36">
        <f>I8*(1+J$23)</f>
        <v>18935.424240844804</v>
      </c>
      <c r="K8" s="36">
        <f>J8*(1+K$23)</f>
        <v>19692.841210478597</v>
      </c>
    </row>
    <row r="9" spans="2:12" x14ac:dyDescent="0.3">
      <c r="B9" s="1" t="s">
        <v>95</v>
      </c>
      <c r="C9" s="1">
        <f>SUMIF('P&amp;L'!$B$4:$B$28,'P&amp;L Forecast'!$B9,'P&amp;L'!C$4:C$28)</f>
        <v>359.43</v>
      </c>
      <c r="D9" s="1">
        <f>SUMIF('P&amp;L'!$B$4:$B$28,'P&amp;L Forecast'!$B9,'P&amp;L'!D$4:D$28)</f>
        <v>220.59</v>
      </c>
      <c r="E9" s="1">
        <f>SUMIF('P&amp;L'!$B$4:$B$28,'P&amp;L Forecast'!$B9,'P&amp;L'!E$4:E$28)</f>
        <v>210.11</v>
      </c>
      <c r="G9" s="36">
        <f>E9*(1+G$27)</f>
        <v>199.6045</v>
      </c>
      <c r="H9" s="36">
        <f>G9*(1+H27)</f>
        <v>189.62427499999998</v>
      </c>
      <c r="I9" s="36">
        <f>H9*(1+I$27)</f>
        <v>180.14306124999999</v>
      </c>
      <c r="J9" s="36">
        <f>I9*(1+J27)</f>
        <v>171.13590818749998</v>
      </c>
      <c r="K9" s="36">
        <f>J9*(1+K$27)</f>
        <v>162.57911277812497</v>
      </c>
    </row>
    <row r="10" spans="2:12" x14ac:dyDescent="0.3">
      <c r="B10" s="41" t="s">
        <v>87</v>
      </c>
      <c r="C10" s="42">
        <f>SUM(C8:C9)</f>
        <v>13731.050000000001</v>
      </c>
      <c r="D10" s="42">
        <f t="shared" ref="D10:K10" si="0">SUM(D8:D9)</f>
        <v>15839.01</v>
      </c>
      <c r="E10" s="42">
        <f t="shared" si="0"/>
        <v>16396.189999999999</v>
      </c>
      <c r="F10" s="141"/>
      <c r="G10" s="50">
        <f>SUM(G8:G9)</f>
        <v>17033.127700000001</v>
      </c>
      <c r="H10" s="50">
        <f t="shared" si="0"/>
        <v>17696.488402999999</v>
      </c>
      <c r="I10" s="50">
        <f t="shared" si="0"/>
        <v>18387.281754370004</v>
      </c>
      <c r="J10" s="50">
        <f t="shared" si="0"/>
        <v>19106.560149032306</v>
      </c>
      <c r="K10" s="50">
        <f t="shared" si="0"/>
        <v>19855.420323256723</v>
      </c>
    </row>
    <row r="11" spans="2:12" x14ac:dyDescent="0.3">
      <c r="B11" s="3" t="s">
        <v>96</v>
      </c>
      <c r="C11" s="147">
        <f>-SUMIF('P&amp;L'!$B$4:$B$28,'P&amp;L Forecast'!$B11,'P&amp;L'!C$4:C$28)</f>
        <v>-8475.760000000002</v>
      </c>
      <c r="D11" s="147">
        <f>-SUMIF('P&amp;L'!$B$4:$B$28,'P&amp;L Forecast'!$B11,'P&amp;L'!D$4:D$28)</f>
        <v>-9455.380000000001</v>
      </c>
      <c r="E11" s="147">
        <f>-SUMIF('P&amp;L'!$B$4:$B$28,'P&amp;L Forecast'!$B11,'P&amp;L'!E$4:E$28)</f>
        <v>-9428.11</v>
      </c>
      <c r="F11" s="142"/>
      <c r="G11" s="148">
        <f>G10*G31</f>
        <v>-9879.2140660000005</v>
      </c>
      <c r="H11" s="148">
        <f>H10*H31</f>
        <v>-10263.963273739999</v>
      </c>
      <c r="I11" s="148">
        <f>I10*I31</f>
        <v>-10664.623417534602</v>
      </c>
      <c r="J11" s="148">
        <f>J10*J31</f>
        <v>-11081.804886438737</v>
      </c>
      <c r="K11" s="148">
        <f>K10*K31</f>
        <v>-11516.143787488898</v>
      </c>
    </row>
    <row r="12" spans="2:12" x14ac:dyDescent="0.3">
      <c r="B12" s="41" t="s">
        <v>88</v>
      </c>
      <c r="C12" s="42">
        <f>SUM(C10:C11)</f>
        <v>5255.2899999999991</v>
      </c>
      <c r="D12" s="42">
        <f t="shared" ref="D12:K12" si="1">SUM(D10:D11)</f>
        <v>6383.6299999999992</v>
      </c>
      <c r="E12" s="42">
        <f t="shared" si="1"/>
        <v>6968.0799999999981</v>
      </c>
      <c r="F12" s="141"/>
      <c r="G12" s="50">
        <f t="shared" si="1"/>
        <v>7153.9136340000005</v>
      </c>
      <c r="H12" s="50">
        <f t="shared" si="1"/>
        <v>7432.5251292600005</v>
      </c>
      <c r="I12" s="50">
        <f t="shared" si="1"/>
        <v>7722.6583368354022</v>
      </c>
      <c r="J12" s="50">
        <f t="shared" si="1"/>
        <v>8024.7552625935696</v>
      </c>
      <c r="K12" s="50">
        <f t="shared" si="1"/>
        <v>8339.2765357678254</v>
      </c>
    </row>
    <row r="13" spans="2:12" x14ac:dyDescent="0.3">
      <c r="B13" s="1" t="s">
        <v>89</v>
      </c>
      <c r="C13" s="149">
        <f>'P&amp;L'!C14+'P&amp;L'!C15</f>
        <v>-2806.7</v>
      </c>
      <c r="D13" s="149">
        <f>'P&amp;L'!D14+'P&amp;L'!D15</f>
        <v>-3421.25</v>
      </c>
      <c r="E13" s="149">
        <f>'P&amp;L'!E14+'P&amp;L'!E15</f>
        <v>-3687.1499999999996</v>
      </c>
      <c r="F13" s="149"/>
      <c r="G13" s="148">
        <f>G10*G35</f>
        <v>-3747.288094</v>
      </c>
      <c r="H13" s="148">
        <f>H10*H35</f>
        <v>-3893.2274486599999</v>
      </c>
      <c r="I13" s="148">
        <f>I10*I35</f>
        <v>-4045.2019859614011</v>
      </c>
      <c r="J13" s="148">
        <f>J10*J35</f>
        <v>-4203.4432327871073</v>
      </c>
      <c r="K13" s="148">
        <f>K10*K35</f>
        <v>-4368.1924711164793</v>
      </c>
    </row>
    <row r="14" spans="2:12" x14ac:dyDescent="0.3">
      <c r="B14" s="43" t="s">
        <v>71</v>
      </c>
      <c r="C14" s="44">
        <f>C12+C13</f>
        <v>2448.5899999999992</v>
      </c>
      <c r="D14" s="44">
        <f t="shared" ref="D14:K14" si="2">D12+D13</f>
        <v>2962.3799999999992</v>
      </c>
      <c r="E14" s="44">
        <f t="shared" si="2"/>
        <v>3280.9299999999985</v>
      </c>
      <c r="F14" s="143"/>
      <c r="G14" s="51">
        <f t="shared" si="2"/>
        <v>3406.6255400000005</v>
      </c>
      <c r="H14" s="51">
        <f t="shared" si="2"/>
        <v>3539.2976806000006</v>
      </c>
      <c r="I14" s="51">
        <f t="shared" si="2"/>
        <v>3677.4563508740011</v>
      </c>
      <c r="J14" s="51">
        <f t="shared" si="2"/>
        <v>3821.3120298064623</v>
      </c>
      <c r="K14" s="51">
        <f t="shared" si="2"/>
        <v>3971.0840646513461</v>
      </c>
    </row>
    <row r="15" spans="2:12" x14ac:dyDescent="0.3">
      <c r="B15" s="1" t="s">
        <v>90</v>
      </c>
      <c r="C15" s="149">
        <f>'P&amp;L'!C17</f>
        <v>-170.01</v>
      </c>
      <c r="D15" s="149">
        <f>'P&amp;L'!D17</f>
        <v>-195.1</v>
      </c>
      <c r="E15" s="149">
        <f>'P&amp;L'!E17</f>
        <v>-271.19</v>
      </c>
      <c r="F15" s="149"/>
      <c r="G15" s="148">
        <f>'PP&amp;E schedule'!F6</f>
        <v>-318.244574961247</v>
      </c>
      <c r="H15" s="148">
        <f>'PP&amp;E schedule'!G6</f>
        <v>-335.05318569004862</v>
      </c>
      <c r="I15" s="148">
        <f>'PP&amp;E schedule'!H6</f>
        <v>-352.74957084412301</v>
      </c>
      <c r="J15" s="148">
        <f>'PP&amp;E schedule'!I6</f>
        <v>-371.38061969010164</v>
      </c>
      <c r="K15" s="148">
        <f>'PP&amp;E schedule'!J6</f>
        <v>-390.99569802836453</v>
      </c>
    </row>
    <row r="16" spans="2:12" x14ac:dyDescent="0.3">
      <c r="B16" s="41" t="s">
        <v>91</v>
      </c>
      <c r="C16" s="42">
        <f>SUM(C14:C15)</f>
        <v>2278.579999999999</v>
      </c>
      <c r="D16" s="42">
        <f t="shared" ref="D16:K16" si="3">SUM(D14:D15)</f>
        <v>2767.2799999999993</v>
      </c>
      <c r="E16" s="42">
        <f t="shared" si="3"/>
        <v>3009.7399999999984</v>
      </c>
      <c r="F16" s="141"/>
      <c r="G16" s="42">
        <f t="shared" si="3"/>
        <v>3088.3809650387534</v>
      </c>
      <c r="H16" s="42">
        <f t="shared" si="3"/>
        <v>3204.2444949099518</v>
      </c>
      <c r="I16" s="42">
        <f t="shared" si="3"/>
        <v>3324.7067800298782</v>
      </c>
      <c r="J16" s="42">
        <f t="shared" si="3"/>
        <v>3449.9314101163609</v>
      </c>
      <c r="K16" s="42">
        <f t="shared" si="3"/>
        <v>3580.0883666229815</v>
      </c>
    </row>
    <row r="17" spans="2:12" x14ac:dyDescent="0.3">
      <c r="B17" s="1" t="s">
        <v>185</v>
      </c>
      <c r="C17" s="149">
        <f>SUMIF('P&amp;L'!$B$4:$B$28,'P&amp;L Forecast'!$B17,'P&amp;L'!C$4:C$28)</f>
        <v>-133.46</v>
      </c>
      <c r="D17" s="149">
        <f>SUMIF('P&amp;L'!$B$4:$B$28,'P&amp;L Forecast'!$B17,'P&amp;L'!D$4:D$28)</f>
        <v>-154.94999999999999</v>
      </c>
      <c r="E17" s="149">
        <f>SUMIF('P&amp;L'!$B$4:$B$28,'P&amp;L Forecast'!$B17,'P&amp;L'!E$4:E$28)</f>
        <v>-151.4</v>
      </c>
      <c r="F17" s="149"/>
      <c r="G17" s="148">
        <f>'financial liabilites'!C19</f>
        <v>-87.321600000000004</v>
      </c>
      <c r="H17" s="148">
        <f>'financial liabilites'!D19</f>
        <v>-81.574084436999314</v>
      </c>
      <c r="I17" s="148">
        <f>'financial liabilites'!E19</f>
        <v>-75.309292473328568</v>
      </c>
      <c r="J17" s="148">
        <f>'financial liabilites'!F19</f>
        <v>-68.480669232927454</v>
      </c>
      <c r="K17" s="148">
        <f>'financial liabilites'!G19</f>
        <v>-61.037469900890237</v>
      </c>
    </row>
    <row r="18" spans="2:12" x14ac:dyDescent="0.3">
      <c r="B18" s="1" t="s">
        <v>97</v>
      </c>
      <c r="C18" s="1">
        <f>SUMIF('P&amp;L'!$B$4:$B$28,'P&amp;L Forecast'!$B18,'P&amp;L'!C$4:C$28)</f>
        <v>0</v>
      </c>
      <c r="D18" s="1">
        <f>SUMIF('P&amp;L'!$B$4:$B$28,'P&amp;L Forecast'!$B18,'P&amp;L'!D$4:D$28)</f>
        <v>227.74</v>
      </c>
      <c r="E18" s="149">
        <f>SUMIF('P&amp;L'!$B$4:$B$28,'P&amp;L Forecast'!$B18,'P&amp;L'!E$4:E$28)</f>
        <v>-2.9</v>
      </c>
      <c r="G18" s="36">
        <f>G10*G39</f>
        <v>0</v>
      </c>
      <c r="H18" s="36">
        <f>H10*H39</f>
        <v>0</v>
      </c>
      <c r="I18" s="36">
        <f>I10*I39</f>
        <v>0</v>
      </c>
      <c r="J18" s="36">
        <f>J10*J39</f>
        <v>0</v>
      </c>
      <c r="K18" s="36">
        <f>K10*K39</f>
        <v>0</v>
      </c>
    </row>
    <row r="19" spans="2:12" x14ac:dyDescent="0.3">
      <c r="B19" s="43" t="s">
        <v>92</v>
      </c>
      <c r="C19" s="44">
        <f>SUM(C16:C18)</f>
        <v>2145.119999999999</v>
      </c>
      <c r="D19" s="44">
        <f>SUM(D16:D18)</f>
        <v>2840.0699999999997</v>
      </c>
      <c r="E19" s="44">
        <f>SUM(E16:E18)</f>
        <v>2855.4399999999982</v>
      </c>
      <c r="F19" s="143"/>
      <c r="G19" s="44">
        <f>SUM(G16:G18)</f>
        <v>3001.0593650387532</v>
      </c>
      <c r="H19" s="44">
        <f>SUM(H16:H18)</f>
        <v>3122.6704104729524</v>
      </c>
      <c r="I19" s="44">
        <f>SUM(I16:I18)</f>
        <v>3249.3974875565495</v>
      </c>
      <c r="J19" s="44">
        <f>SUM(J16:J18)</f>
        <v>3381.4507408834334</v>
      </c>
      <c r="K19" s="44">
        <f>SUM(K16:K18)</f>
        <v>3519.0508967220912</v>
      </c>
    </row>
    <row r="20" spans="2:12" ht="15" thickBot="1" x14ac:dyDescent="0.35">
      <c r="B20" s="1" t="s">
        <v>94</v>
      </c>
      <c r="C20" s="149">
        <f>-'P&amp;L'!C25</f>
        <v>-541.93000000000006</v>
      </c>
      <c r="D20" s="149">
        <f>-'P&amp;L'!D25</f>
        <v>-700.77</v>
      </c>
      <c r="E20" s="149">
        <f>-'P&amp;L'!E25</f>
        <v>-773.3900000000001</v>
      </c>
      <c r="F20" s="149"/>
      <c r="G20" s="150">
        <f>G19*G43</f>
        <v>-780.27543491007589</v>
      </c>
      <c r="H20" s="148">
        <f>H19*H43</f>
        <v>-811.89430672296771</v>
      </c>
      <c r="I20" s="150">
        <f>I19*I43</f>
        <v>-844.84334676470291</v>
      </c>
      <c r="J20" s="148">
        <f>J19*J43</f>
        <v>-879.17719262969274</v>
      </c>
      <c r="K20" s="148">
        <f>K19*K43</f>
        <v>-914.95323314774373</v>
      </c>
    </row>
    <row r="21" spans="2:12" ht="15" thickBot="1" x14ac:dyDescent="0.35">
      <c r="B21" s="115" t="s">
        <v>93</v>
      </c>
      <c r="C21" s="114">
        <f t="shared" ref="C21:K21" si="4">C19+C20</f>
        <v>1603.1899999999989</v>
      </c>
      <c r="D21" s="114">
        <f t="shared" si="4"/>
        <v>2139.2999999999997</v>
      </c>
      <c r="E21" s="114">
        <f t="shared" si="4"/>
        <v>2082.0499999999984</v>
      </c>
      <c r="F21" s="143"/>
      <c r="G21" s="113">
        <f>G19+G20</f>
        <v>2220.7839301286772</v>
      </c>
      <c r="H21" s="112">
        <f t="shared" si="4"/>
        <v>2310.7761037499849</v>
      </c>
      <c r="I21" s="164">
        <f t="shared" si="4"/>
        <v>2404.5541407918467</v>
      </c>
      <c r="J21" s="112">
        <f t="shared" si="4"/>
        <v>2502.2735482537405</v>
      </c>
      <c r="K21" s="112">
        <f t="shared" si="4"/>
        <v>2604.0976635743473</v>
      </c>
    </row>
    <row r="22" spans="2:12" x14ac:dyDescent="0.3">
      <c r="I22" s="8"/>
    </row>
    <row r="23" spans="2:12" outlineLevel="1" x14ac:dyDescent="0.3">
      <c r="B23" s="37" t="s">
        <v>98</v>
      </c>
      <c r="C23" s="37"/>
      <c r="D23" s="48">
        <f>(D10/C10)-1</f>
        <v>0.15351775719992267</v>
      </c>
      <c r="E23" s="49">
        <f>(E10/D10)-1</f>
        <v>3.5177703656983583E-2</v>
      </c>
      <c r="F23" s="144"/>
      <c r="G23" s="47">
        <f>CHOOSE($C$2,G$24,G$25,G$26)</f>
        <v>0.04</v>
      </c>
      <c r="H23" s="47">
        <f>CHOOSE($C$2,H$24,H$25,H$26)</f>
        <v>0.04</v>
      </c>
      <c r="I23" s="47">
        <f>CHOOSE($C$2,I$24,I$25,I$26)</f>
        <v>0.04</v>
      </c>
      <c r="J23" s="47">
        <f>CHOOSE($C$2,J$24,J$25,J$26)</f>
        <v>0.04</v>
      </c>
      <c r="K23" s="47">
        <f>CHOOSE($C$2,K$24,K$25,K$26)</f>
        <v>0.04</v>
      </c>
    </row>
    <row r="24" spans="2:12" outlineLevel="1" x14ac:dyDescent="0.3">
      <c r="B24" s="38" t="s">
        <v>99</v>
      </c>
      <c r="C24" s="38"/>
      <c r="D24" s="38"/>
      <c r="E24" s="38"/>
      <c r="G24" s="46">
        <v>0.06</v>
      </c>
      <c r="H24" s="46">
        <v>0.06</v>
      </c>
      <c r="I24" s="46">
        <v>0.06</v>
      </c>
      <c r="J24" s="46">
        <v>0.06</v>
      </c>
      <c r="K24" s="46">
        <v>0.06</v>
      </c>
      <c r="L24" s="54"/>
    </row>
    <row r="25" spans="2:12" outlineLevel="1" x14ac:dyDescent="0.3">
      <c r="B25" s="38" t="s">
        <v>100</v>
      </c>
      <c r="C25" s="38"/>
      <c r="D25" s="38"/>
      <c r="E25" s="38"/>
      <c r="G25" s="46">
        <v>0.04</v>
      </c>
      <c r="H25" s="46">
        <v>0.04</v>
      </c>
      <c r="I25" s="46">
        <v>0.04</v>
      </c>
      <c r="J25" s="46">
        <v>0.04</v>
      </c>
      <c r="K25" s="46">
        <v>0.04</v>
      </c>
    </row>
    <row r="26" spans="2:12" outlineLevel="1" x14ac:dyDescent="0.3">
      <c r="B26" s="38" t="s">
        <v>101</v>
      </c>
      <c r="C26" s="38"/>
      <c r="D26" s="38"/>
      <c r="E26" s="38"/>
      <c r="G26" s="46">
        <v>0.02</v>
      </c>
      <c r="H26" s="46">
        <v>0.02</v>
      </c>
      <c r="I26" s="46">
        <v>0.02</v>
      </c>
      <c r="J26" s="46">
        <v>0.02</v>
      </c>
      <c r="K26" s="46">
        <v>0.02</v>
      </c>
    </row>
    <row r="27" spans="2:12" outlineLevel="1" x14ac:dyDescent="0.3">
      <c r="B27" s="37" t="s">
        <v>102</v>
      </c>
      <c r="C27" s="37"/>
      <c r="D27" s="49">
        <f>(D9/C9)-1</f>
        <v>-0.38627827393372838</v>
      </c>
      <c r="E27" s="49">
        <f>(E9/D9)-1</f>
        <v>-4.7508953261707232E-2</v>
      </c>
      <c r="F27" s="144"/>
      <c r="G27" s="47">
        <f>CHOOSE($C$2,G$28,G29,G30)</f>
        <v>-0.05</v>
      </c>
      <c r="H27" s="47">
        <f>CHOOSE($C$2,H$28,H29,H30)</f>
        <v>-0.05</v>
      </c>
      <c r="I27" s="47">
        <f>CHOOSE($C$2,I$28,I29,I30)</f>
        <v>-0.05</v>
      </c>
      <c r="J27" s="47">
        <f>CHOOSE($C$2,J$28,J29,J30)</f>
        <v>-0.05</v>
      </c>
      <c r="K27" s="47">
        <f>CHOOSE($C$2,K$28,K29,K30)</f>
        <v>-0.05</v>
      </c>
    </row>
    <row r="28" spans="2:12" outlineLevel="1" x14ac:dyDescent="0.3">
      <c r="B28" s="38" t="s">
        <v>99</v>
      </c>
      <c r="C28" s="38"/>
      <c r="D28" s="38"/>
      <c r="E28" s="38"/>
      <c r="G28" s="46">
        <v>-0.03</v>
      </c>
      <c r="H28" s="46">
        <v>-0.03</v>
      </c>
      <c r="I28" s="46">
        <v>-0.03</v>
      </c>
      <c r="J28" s="46">
        <v>-0.03</v>
      </c>
      <c r="K28" s="46">
        <v>-0.03</v>
      </c>
    </row>
    <row r="29" spans="2:12" outlineLevel="1" x14ac:dyDescent="0.3">
      <c r="B29" s="38" t="s">
        <v>100</v>
      </c>
      <c r="C29" s="38"/>
      <c r="D29" s="38"/>
      <c r="E29" s="38"/>
      <c r="G29" s="46">
        <v>-0.05</v>
      </c>
      <c r="H29" s="46">
        <v>-0.05</v>
      </c>
      <c r="I29" s="46">
        <v>-0.05</v>
      </c>
      <c r="J29" s="46">
        <v>-0.05</v>
      </c>
      <c r="K29" s="46">
        <v>-0.05</v>
      </c>
    </row>
    <row r="30" spans="2:12" outlineLevel="1" x14ac:dyDescent="0.3">
      <c r="B30" s="38" t="s">
        <v>101</v>
      </c>
      <c r="C30" s="38"/>
      <c r="D30" s="38"/>
      <c r="E30" s="38"/>
      <c r="G30" s="46">
        <v>-7.0000000000000007E-2</v>
      </c>
      <c r="H30" s="46">
        <v>-7.0000000000000007E-2</v>
      </c>
      <c r="I30" s="46">
        <v>-7.0000000000000007E-2</v>
      </c>
      <c r="J30" s="46">
        <v>-7.0000000000000007E-2</v>
      </c>
      <c r="K30" s="46">
        <v>-7.0000000000000007E-2</v>
      </c>
    </row>
    <row r="31" spans="2:12" outlineLevel="1" x14ac:dyDescent="0.3">
      <c r="B31" s="37" t="s">
        <v>103</v>
      </c>
      <c r="C31" s="49">
        <f>C11/C10</f>
        <v>-0.61726961885653331</v>
      </c>
      <c r="D31" s="49">
        <f>D11/D10</f>
        <v>-0.59696786604718355</v>
      </c>
      <c r="E31" s="49">
        <f>E11/E10</f>
        <v>-0.57501834267595098</v>
      </c>
      <c r="F31" s="144"/>
      <c r="G31" s="47">
        <f>CHOOSE($C$2,G32,G33,G34)</f>
        <v>-0.57999999999999996</v>
      </c>
      <c r="H31" s="47">
        <f>CHOOSE($C$2,H32,H33,H34)</f>
        <v>-0.57999999999999996</v>
      </c>
      <c r="I31" s="47">
        <f>CHOOSE($C$2,I32,I33,I34)</f>
        <v>-0.57999999999999996</v>
      </c>
      <c r="J31" s="47">
        <f>CHOOSE($C$2,J32,J33,J34)</f>
        <v>-0.57999999999999996</v>
      </c>
      <c r="K31" s="47">
        <f>CHOOSE($C$2,K32,K33,K34)</f>
        <v>-0.57999999999999996</v>
      </c>
    </row>
    <row r="32" spans="2:12" outlineLevel="1" x14ac:dyDescent="0.3">
      <c r="B32" s="38" t="s">
        <v>99</v>
      </c>
      <c r="C32" s="38"/>
      <c r="D32" s="38"/>
      <c r="E32" s="38"/>
      <c r="G32" s="46">
        <v>-0.56000000000000005</v>
      </c>
      <c r="H32" s="46">
        <v>-0.56000000000000005</v>
      </c>
      <c r="I32" s="46">
        <v>-0.56000000000000005</v>
      </c>
      <c r="J32" s="46">
        <v>-0.56000000000000005</v>
      </c>
      <c r="K32" s="46">
        <v>-0.56000000000000005</v>
      </c>
    </row>
    <row r="33" spans="2:11" outlineLevel="1" x14ac:dyDescent="0.3">
      <c r="B33" s="38" t="s">
        <v>100</v>
      </c>
      <c r="C33" s="38"/>
      <c r="D33" s="38"/>
      <c r="E33" s="38"/>
      <c r="G33" s="46">
        <v>-0.57999999999999996</v>
      </c>
      <c r="H33" s="46">
        <v>-0.57999999999999996</v>
      </c>
      <c r="I33" s="46">
        <v>-0.57999999999999996</v>
      </c>
      <c r="J33" s="46">
        <v>-0.57999999999999996</v>
      </c>
      <c r="K33" s="46">
        <v>-0.57999999999999996</v>
      </c>
    </row>
    <row r="34" spans="2:11" outlineLevel="1" x14ac:dyDescent="0.3">
      <c r="B34" s="38" t="s">
        <v>101</v>
      </c>
      <c r="C34" s="38"/>
      <c r="D34" s="38"/>
      <c r="E34" s="38"/>
      <c r="G34" s="46">
        <v>-0.6</v>
      </c>
      <c r="H34" s="46">
        <v>-0.6</v>
      </c>
      <c r="I34" s="46">
        <v>-0.6</v>
      </c>
      <c r="J34" s="46">
        <v>-0.6</v>
      </c>
      <c r="K34" s="46">
        <v>-0.6</v>
      </c>
    </row>
    <row r="35" spans="2:11" outlineLevel="1" x14ac:dyDescent="0.3">
      <c r="B35" s="37" t="s">
        <v>104</v>
      </c>
      <c r="C35" s="49">
        <f>C13/C10</f>
        <v>-0.20440534409240368</v>
      </c>
      <c r="D35" s="49">
        <f>D13/D10</f>
        <v>-0.21600150514457658</v>
      </c>
      <c r="E35" s="49">
        <f>E13/E10</f>
        <v>-0.22487846261844976</v>
      </c>
      <c r="F35" s="144"/>
      <c r="G35" s="47">
        <f t="shared" ref="G35:K35" si="5">CHOOSE($C$2,G36,G37,G38)</f>
        <v>-0.22</v>
      </c>
      <c r="H35" s="47">
        <f t="shared" si="5"/>
        <v>-0.22</v>
      </c>
      <c r="I35" s="47">
        <f t="shared" si="5"/>
        <v>-0.22</v>
      </c>
      <c r="J35" s="47">
        <f t="shared" si="5"/>
        <v>-0.22</v>
      </c>
      <c r="K35" s="47">
        <f t="shared" si="5"/>
        <v>-0.22</v>
      </c>
    </row>
    <row r="36" spans="2:11" outlineLevel="1" x14ac:dyDescent="0.3">
      <c r="B36" s="38" t="s">
        <v>99</v>
      </c>
      <c r="C36" s="38"/>
      <c r="D36" s="38"/>
      <c r="E36" s="38"/>
      <c r="G36" s="46">
        <v>-0.2</v>
      </c>
      <c r="H36" s="46">
        <v>-0.2</v>
      </c>
      <c r="I36" s="46">
        <v>-0.2</v>
      </c>
      <c r="J36" s="46">
        <v>-0.2</v>
      </c>
      <c r="K36" s="46">
        <v>-0.2</v>
      </c>
    </row>
    <row r="37" spans="2:11" outlineLevel="1" x14ac:dyDescent="0.3">
      <c r="B37" s="38" t="s">
        <v>100</v>
      </c>
      <c r="C37" s="38"/>
      <c r="D37" s="38"/>
      <c r="E37" s="38"/>
      <c r="G37" s="46">
        <v>-0.22</v>
      </c>
      <c r="H37" s="46">
        <v>-0.22</v>
      </c>
      <c r="I37" s="46">
        <v>-0.22</v>
      </c>
      <c r="J37" s="46">
        <v>-0.22</v>
      </c>
      <c r="K37" s="46">
        <v>-0.22</v>
      </c>
    </row>
    <row r="38" spans="2:11" outlineLevel="1" x14ac:dyDescent="0.3">
      <c r="B38" s="38" t="s">
        <v>101</v>
      </c>
      <c r="C38" s="38"/>
      <c r="D38" s="38"/>
      <c r="E38" s="38"/>
      <c r="G38" s="46">
        <v>-0.24</v>
      </c>
      <c r="H38" s="46">
        <v>-0.24</v>
      </c>
      <c r="I38" s="46">
        <v>-0.24</v>
      </c>
      <c r="J38" s="46">
        <v>-0.24</v>
      </c>
      <c r="K38" s="46">
        <v>-0.24</v>
      </c>
    </row>
    <row r="39" spans="2:11" outlineLevel="1" x14ac:dyDescent="0.3">
      <c r="B39" s="37" t="s">
        <v>105</v>
      </c>
      <c r="C39" s="49">
        <f>C18/C10</f>
        <v>0</v>
      </c>
      <c r="D39" s="49">
        <f>D18/D10</f>
        <v>1.4378423904019255E-2</v>
      </c>
      <c r="E39" s="49">
        <f>E18/E10</f>
        <v>-1.7687035829665307E-4</v>
      </c>
      <c r="F39" s="144"/>
      <c r="G39" s="47">
        <f t="shared" ref="G39:K39" si="6">CHOOSE($C$2,G40,G41,G42)</f>
        <v>0</v>
      </c>
      <c r="H39" s="47">
        <f t="shared" si="6"/>
        <v>0</v>
      </c>
      <c r="I39" s="47">
        <f t="shared" si="6"/>
        <v>0</v>
      </c>
      <c r="J39" s="47">
        <f t="shared" si="6"/>
        <v>0</v>
      </c>
      <c r="K39" s="47">
        <f t="shared" si="6"/>
        <v>0</v>
      </c>
    </row>
    <row r="40" spans="2:11" outlineLevel="1" x14ac:dyDescent="0.3">
      <c r="B40" s="38" t="s">
        <v>99</v>
      </c>
      <c r="C40" s="38"/>
      <c r="D40" s="38"/>
      <c r="E40" s="38"/>
      <c r="G40" s="46">
        <v>0</v>
      </c>
      <c r="H40" s="46">
        <v>0</v>
      </c>
      <c r="I40" s="46">
        <v>0</v>
      </c>
      <c r="J40" s="46">
        <v>0</v>
      </c>
      <c r="K40" s="46">
        <v>0</v>
      </c>
    </row>
    <row r="41" spans="2:11" outlineLevel="1" x14ac:dyDescent="0.3">
      <c r="B41" s="38" t="s">
        <v>100</v>
      </c>
      <c r="C41" s="38"/>
      <c r="D41" s="38"/>
      <c r="E41" s="38"/>
      <c r="G41" s="46">
        <v>0</v>
      </c>
      <c r="H41" s="46">
        <v>0</v>
      </c>
      <c r="I41" s="46">
        <v>0</v>
      </c>
      <c r="J41" s="46">
        <v>0</v>
      </c>
      <c r="K41" s="46">
        <v>0</v>
      </c>
    </row>
    <row r="42" spans="2:11" outlineLevel="1" x14ac:dyDescent="0.3">
      <c r="B42" s="38" t="s">
        <v>101</v>
      </c>
      <c r="C42" s="38"/>
      <c r="D42" s="38"/>
      <c r="E42" s="38"/>
      <c r="G42" s="46">
        <v>0</v>
      </c>
      <c r="H42" s="46">
        <v>0</v>
      </c>
      <c r="I42" s="46">
        <v>0</v>
      </c>
      <c r="J42" s="46">
        <v>0</v>
      </c>
      <c r="K42" s="46">
        <v>0</v>
      </c>
    </row>
    <row r="43" spans="2:11" outlineLevel="1" x14ac:dyDescent="0.3">
      <c r="B43" s="37" t="s">
        <v>106</v>
      </c>
      <c r="C43" s="48">
        <f>C20/C19</f>
        <v>-0.25263388528380709</v>
      </c>
      <c r="D43" s="48">
        <f>D20/D19</f>
        <v>-0.24674391828370429</v>
      </c>
      <c r="E43" s="48">
        <f>E20/E19</f>
        <v>-0.27084792536351687</v>
      </c>
      <c r="F43" s="145"/>
      <c r="G43" s="47">
        <f t="shared" ref="G43:K43" si="7">CHOOSE($C$2,G44,G45,G46)</f>
        <v>-0.26</v>
      </c>
      <c r="H43" s="47">
        <f t="shared" si="7"/>
        <v>-0.26</v>
      </c>
      <c r="I43" s="47">
        <f t="shared" si="7"/>
        <v>-0.26</v>
      </c>
      <c r="J43" s="47">
        <f t="shared" si="7"/>
        <v>-0.26</v>
      </c>
      <c r="K43" s="47">
        <f t="shared" si="7"/>
        <v>-0.26</v>
      </c>
    </row>
    <row r="44" spans="2:11" outlineLevel="1" x14ac:dyDescent="0.3">
      <c r="B44" s="38" t="s">
        <v>99</v>
      </c>
      <c r="C44" s="38"/>
      <c r="D44" s="38"/>
      <c r="E44" s="38"/>
      <c r="G44" s="52">
        <v>-0.24</v>
      </c>
      <c r="H44" s="52">
        <v>-0.24</v>
      </c>
      <c r="I44" s="52">
        <v>-0.24</v>
      </c>
      <c r="J44" s="52">
        <v>-0.24</v>
      </c>
      <c r="K44" s="52">
        <v>-0.24</v>
      </c>
    </row>
    <row r="45" spans="2:11" outlineLevel="1" x14ac:dyDescent="0.3">
      <c r="B45" s="38" t="s">
        <v>100</v>
      </c>
      <c r="C45" s="38"/>
      <c r="D45" s="38"/>
      <c r="E45" s="38"/>
      <c r="G45" s="52">
        <v>-0.26</v>
      </c>
      <c r="H45" s="52">
        <v>-0.26</v>
      </c>
      <c r="I45" s="52">
        <v>-0.26</v>
      </c>
      <c r="J45" s="52">
        <v>-0.26</v>
      </c>
      <c r="K45" s="52">
        <v>-0.26</v>
      </c>
    </row>
    <row r="46" spans="2:11" outlineLevel="1" x14ac:dyDescent="0.3">
      <c r="B46" s="38" t="s">
        <v>101</v>
      </c>
      <c r="C46" s="38"/>
      <c r="D46" s="38"/>
      <c r="E46" s="38"/>
      <c r="G46" s="52">
        <v>-0.28000000000000003</v>
      </c>
      <c r="H46" s="52">
        <v>-0.28000000000000003</v>
      </c>
      <c r="I46" s="52">
        <v>-0.28000000000000003</v>
      </c>
      <c r="J46" s="52">
        <v>-0.28000000000000003</v>
      </c>
      <c r="K46" s="52">
        <v>-0.28000000000000003</v>
      </c>
    </row>
    <row r="47" spans="2:11" outlineLevel="1" x14ac:dyDescent="0.3"/>
    <row r="48" spans="2:11" outlineLevel="1" x14ac:dyDescent="0.3">
      <c r="C48" s="90"/>
      <c r="D48" s="90"/>
      <c r="E48" s="90"/>
      <c r="F48" s="33"/>
      <c r="G48" s="90"/>
      <c r="H48" s="90"/>
      <c r="I48" s="90"/>
      <c r="J48" s="90"/>
      <c r="K48" s="90"/>
    </row>
    <row r="49" spans="2:11" x14ac:dyDescent="0.3">
      <c r="B49" s="30" t="s">
        <v>202</v>
      </c>
      <c r="C49" s="30">
        <f>C21/'BS Forecast'!C17</f>
        <v>0.22854295827553892</v>
      </c>
      <c r="D49" s="30">
        <f>D21/'BS Forecast'!D17</f>
        <v>0.24764830768447149</v>
      </c>
      <c r="E49" s="30">
        <f>E21/'BS Forecast'!E17</f>
        <v>0.24872653162645544</v>
      </c>
      <c r="G49" s="53">
        <f>G21/'BS Forecast'!G17</f>
        <v>0.25212918509211862</v>
      </c>
      <c r="H49" s="53">
        <f>H21/'BS Forecast'!H17</f>
        <v>0.24530172014010121</v>
      </c>
      <c r="I49" s="53">
        <f>I21/'BS Forecast'!I17</f>
        <v>0.23860209936111693</v>
      </c>
      <c r="J49" s="53">
        <f>J21/'BS Forecast'!J17</f>
        <v>0.2321056955637166</v>
      </c>
      <c r="K49" s="53">
        <f>K21/'BS Forecast'!K17</f>
        <v>0.22586170483747978</v>
      </c>
    </row>
    <row r="50" spans="2:11" x14ac:dyDescent="0.3">
      <c r="B50" s="30" t="s">
        <v>203</v>
      </c>
      <c r="C50" s="30">
        <f>C21/'BS Forecast'!C26</f>
        <v>0.66728961848710067</v>
      </c>
      <c r="D50" s="30">
        <f>D21/'BS Forecast'!D26</f>
        <v>0.6724926520283544</v>
      </c>
      <c r="E50" s="30">
        <f>E21/'BS Forecast'!E26</f>
        <v>0.59023053023086991</v>
      </c>
      <c r="G50" s="53">
        <f>G21/'BS Forecast'!G26</f>
        <v>0.52954543966435841</v>
      </c>
      <c r="H50" s="53">
        <f>H21/'BS Forecast'!H26</f>
        <v>0.47284259731028649</v>
      </c>
      <c r="I50" s="53">
        <f>I21/'BS Forecast'!I26</f>
        <v>0.42874505292927323</v>
      </c>
      <c r="J50" s="53">
        <f>J21/'BS Forecast'!J26</f>
        <v>0.39349886107939847</v>
      </c>
      <c r="K50" s="53">
        <f>K21/'BS Forecast'!K26</f>
        <v>0.36470599325569075</v>
      </c>
    </row>
    <row r="51" spans="2:11" x14ac:dyDescent="0.3">
      <c r="B51" s="29" t="s">
        <v>77</v>
      </c>
      <c r="C51" s="30">
        <f>C12/C10</f>
        <v>0.38273038114346669</v>
      </c>
      <c r="D51" s="30">
        <f>D12/D10</f>
        <v>0.40303213395281645</v>
      </c>
      <c r="E51" s="30">
        <f>E12/E10</f>
        <v>0.42498165732404897</v>
      </c>
      <c r="F51" s="33"/>
      <c r="G51" s="53">
        <f>G12/G10</f>
        <v>0.42</v>
      </c>
      <c r="H51" s="53">
        <f>H12/H10</f>
        <v>0.42000000000000004</v>
      </c>
      <c r="I51" s="53">
        <f>I12/I10</f>
        <v>0.42000000000000004</v>
      </c>
      <c r="J51" s="53">
        <f>J12/J10</f>
        <v>0.42000000000000004</v>
      </c>
      <c r="K51" s="53">
        <f>K12/K10</f>
        <v>0.4200000000000001</v>
      </c>
    </row>
    <row r="52" spans="2:11" x14ac:dyDescent="0.3">
      <c r="B52" s="29" t="s">
        <v>78</v>
      </c>
      <c r="C52" s="30">
        <f>C14/C10</f>
        <v>0.17832503705106303</v>
      </c>
      <c r="D52" s="30">
        <f>D14/D10</f>
        <v>0.18703062880823987</v>
      </c>
      <c r="E52" s="30">
        <f>E14/E10</f>
        <v>0.2001031947055992</v>
      </c>
      <c r="F52" s="33"/>
      <c r="G52" s="53">
        <f>G14/G10</f>
        <v>0.2</v>
      </c>
      <c r="H52" s="53">
        <f>H14/H10</f>
        <v>0.20000000000000004</v>
      </c>
      <c r="I52" s="53">
        <f>I14/I10</f>
        <v>0.2</v>
      </c>
      <c r="J52" s="53">
        <f>J14/J10</f>
        <v>0.20000000000000007</v>
      </c>
      <c r="K52" s="53">
        <f>K14/K10</f>
        <v>0.20000000000000007</v>
      </c>
    </row>
    <row r="53" spans="2:11" x14ac:dyDescent="0.3">
      <c r="B53" s="29" t="s">
        <v>79</v>
      </c>
      <c r="C53" s="30">
        <f>C21/C10</f>
        <v>0.11675654811540259</v>
      </c>
      <c r="D53" s="30">
        <f>D21/D10</f>
        <v>0.1350652597605532</v>
      </c>
      <c r="E53" s="30">
        <f>E21/E10</f>
        <v>0.12698376879018836</v>
      </c>
      <c r="F53" s="33"/>
      <c r="G53" s="53">
        <f>G21/G10</f>
        <v>0.13038027831662866</v>
      </c>
      <c r="H53" s="53">
        <f>H21/H10</f>
        <v>0.1305782283539513</v>
      </c>
      <c r="I53" s="53">
        <f>I21/I10</f>
        <v>0.13077268151505697</v>
      </c>
      <c r="J53" s="53">
        <f>J21/J10</f>
        <v>0.13096410493232993</v>
      </c>
      <c r="K53" s="53">
        <f>K21/K10</f>
        <v>0.1311529859946686</v>
      </c>
    </row>
  </sheetData>
  <mergeCells count="4">
    <mergeCell ref="B1:C1"/>
    <mergeCell ref="C6:E6"/>
    <mergeCell ref="G6:K6"/>
    <mergeCell ref="L6:L7"/>
  </mergeCells>
  <dataValidations count="1">
    <dataValidation type="list" allowBlank="1" showInputMessage="1" showErrorMessage="1" sqref="C2" xr:uid="{2CD1F327-5925-4A96-AE5C-183A181A5835}">
      <formula1>"1,2,3"</formula1>
    </dataValidation>
  </dataValidation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span" markers="1" high="1" low="1" xr2:uid="{FE60F831-9CA2-4B07-8E3C-454E3988B594}">
          <x14:colorSeries theme="1"/>
          <x14:colorNegative rgb="FFD00000"/>
          <x14:colorAxis rgb="FF000000"/>
          <x14:colorMarkers rgb="FFD00000"/>
          <x14:colorFirst rgb="FFD00000"/>
          <x14:colorLast rgb="FFD00000"/>
          <x14:colorHigh rgb="FFD00000"/>
          <x14:colorLow rgb="FFD00000"/>
          <x14:sparklines>
            <x14:sparkline>
              <xm:f>'P&amp;L Forecast'!C10:K10</xm:f>
              <xm:sqref>L10</xm:sqref>
            </x14:sparkline>
          </x14:sparklines>
        </x14:sparklineGroup>
        <x14:sparklineGroup type="column" displayEmptyCellsAs="gap" high="1" xr2:uid="{016A351C-9D7A-45B6-B733-0B1D0D8C7146}">
          <x14:colorSeries rgb="FF376092"/>
          <x14:colorNegative rgb="FFD00000"/>
          <x14:colorAxis rgb="FF000000"/>
          <x14:colorMarkers rgb="FFD00000"/>
          <x14:colorFirst rgb="FFD00000"/>
          <x14:colorLast rgb="FFD00000"/>
          <x14:colorHigh rgb="FFD00000"/>
          <x14:colorLow rgb="FFD00000"/>
          <x14:sparklines>
            <x14:sparkline>
              <xm:f>'P&amp;L Forecast'!C12:K12</xm:f>
              <xm:sqref>L12</xm:sqref>
            </x14:sparkline>
          </x14:sparklines>
        </x14:sparklineGroup>
        <x14:sparklineGroup displayEmptyCellsAs="span" markers="1" high="1" low="1" first="1" last="1" xr2:uid="{5A3E1F86-2C24-4B1C-9C33-21E5F6A6A956}">
          <x14:colorSeries theme="1"/>
          <x14:colorNegative rgb="FFD00000"/>
          <x14:colorAxis rgb="FF000000"/>
          <x14:colorMarkers rgb="FFD00000"/>
          <x14:colorFirst rgb="FFD00000"/>
          <x14:colorLast rgb="FFD00000"/>
          <x14:colorHigh rgb="FFFF0000"/>
          <x14:colorLow rgb="FFD00000"/>
          <x14:sparklines>
            <x14:sparkline>
              <xm:f>'P&amp;L Forecast'!C14:K14</xm:f>
              <xm:sqref>L14</xm:sqref>
            </x14:sparkline>
          </x14:sparklines>
        </x14:sparklineGroup>
        <x14:sparklineGroup type="column" displayEmptyCellsAs="gap" high="1" xr2:uid="{A7AE7892-32CE-4DF3-B4C2-934A042A11DD}">
          <x14:colorSeries rgb="FF376092"/>
          <x14:colorNegative rgb="FFD00000"/>
          <x14:colorAxis rgb="FF000000"/>
          <x14:colorMarkers rgb="FFD00000"/>
          <x14:colorFirst rgb="FFD00000"/>
          <x14:colorLast rgb="FFD00000"/>
          <x14:colorHigh rgb="FFD00000"/>
          <x14:colorLow rgb="FFD00000"/>
          <x14:sparklines>
            <x14:sparkline>
              <xm:f>'P&amp;L Forecast'!C21:K21</xm:f>
              <xm:sqref>L21</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2EEB-4E5D-4A5A-AF50-C9C07B27E399}">
  <sheetPr codeName="Sheet6">
    <tabColor theme="0"/>
  </sheetPr>
  <dimension ref="B1:K53"/>
  <sheetViews>
    <sheetView zoomScaleNormal="100" workbookViewId="0">
      <pane ySplit="4" topLeftCell="A5" activePane="bottomLeft" state="frozen"/>
      <selection pane="bottomLeft" activeCell="G17" sqref="G17"/>
    </sheetView>
  </sheetViews>
  <sheetFormatPr defaultRowHeight="14.4" outlineLevelRow="1" x14ac:dyDescent="0.3"/>
  <cols>
    <col min="1" max="1" width="1.88671875" style="1" customWidth="1"/>
    <col min="2" max="2" width="66" style="1" customWidth="1"/>
    <col min="3" max="5" width="11.77734375" style="1" customWidth="1"/>
    <col min="6" max="6" width="2.21875" style="1" customWidth="1"/>
    <col min="7" max="11" width="11.77734375" style="1" customWidth="1"/>
    <col min="12" max="16384" width="8.88671875" style="1"/>
  </cols>
  <sheetData>
    <row r="1" spans="2:11" ht="17.399999999999999" x14ac:dyDescent="0.3">
      <c r="B1" s="321" t="s">
        <v>107</v>
      </c>
      <c r="C1" s="321"/>
    </row>
    <row r="2" spans="2:11" x14ac:dyDescent="0.3">
      <c r="B2" s="59"/>
      <c r="C2" s="59"/>
      <c r="D2" s="59"/>
      <c r="E2" s="59"/>
      <c r="F2" s="59"/>
      <c r="G2" s="59"/>
      <c r="H2" s="59"/>
      <c r="I2" s="59"/>
      <c r="J2" s="59"/>
      <c r="K2" s="59"/>
    </row>
    <row r="3" spans="2:11" x14ac:dyDescent="0.3">
      <c r="B3" s="60"/>
      <c r="C3" s="326" t="s">
        <v>70</v>
      </c>
      <c r="D3" s="326"/>
      <c r="E3" s="326"/>
      <c r="F3" s="59"/>
      <c r="G3" s="327" t="s">
        <v>69</v>
      </c>
      <c r="H3" s="328"/>
      <c r="I3" s="328"/>
      <c r="J3" s="328"/>
      <c r="K3" s="328"/>
    </row>
    <row r="4" spans="2:11" ht="15" thickBot="1" x14ac:dyDescent="0.35">
      <c r="B4" s="61" t="s">
        <v>80</v>
      </c>
      <c r="C4" s="62">
        <v>44651</v>
      </c>
      <c r="D4" s="62">
        <v>45016</v>
      </c>
      <c r="E4" s="62">
        <v>45382</v>
      </c>
      <c r="F4" s="59"/>
      <c r="G4" s="62">
        <v>45747</v>
      </c>
      <c r="H4" s="62">
        <v>46112</v>
      </c>
      <c r="I4" s="62">
        <v>46477</v>
      </c>
      <c r="J4" s="62">
        <v>46843</v>
      </c>
      <c r="K4" s="62">
        <v>47208</v>
      </c>
    </row>
    <row r="5" spans="2:11" x14ac:dyDescent="0.3">
      <c r="B5" s="63" t="s">
        <v>210</v>
      </c>
      <c r="C5" s="59">
        <f>BS!C9</f>
        <v>15.6</v>
      </c>
      <c r="D5" s="59">
        <f>BS!D9</f>
        <v>12.75</v>
      </c>
      <c r="E5" s="59">
        <f>BS!E9</f>
        <v>9.3800000000000008</v>
      </c>
      <c r="F5" s="59"/>
      <c r="G5" s="57">
        <f>$E$5</f>
        <v>9.3800000000000008</v>
      </c>
      <c r="H5" s="57">
        <f t="shared" ref="H5:K5" si="0">$E$5</f>
        <v>9.3800000000000008</v>
      </c>
      <c r="I5" s="57">
        <f t="shared" si="0"/>
        <v>9.3800000000000008</v>
      </c>
      <c r="J5" s="57">
        <f t="shared" si="0"/>
        <v>9.3800000000000008</v>
      </c>
      <c r="K5" s="57">
        <f t="shared" si="0"/>
        <v>9.3800000000000008</v>
      </c>
    </row>
    <row r="6" spans="2:11" x14ac:dyDescent="0.3">
      <c r="B6" s="64" t="s">
        <v>116</v>
      </c>
      <c r="C6" s="59">
        <f>BS!C8</f>
        <v>34.42</v>
      </c>
      <c r="D6" s="59">
        <f>BS!D8</f>
        <v>60.5</v>
      </c>
      <c r="E6" s="59">
        <f>BS!E8</f>
        <v>46.75</v>
      </c>
      <c r="F6" s="59"/>
      <c r="G6" s="57">
        <f>$E$6</f>
        <v>46.75</v>
      </c>
      <c r="H6" s="57">
        <f t="shared" ref="H6:K6" si="1">$E$6</f>
        <v>46.75</v>
      </c>
      <c r="I6" s="57">
        <f t="shared" si="1"/>
        <v>46.75</v>
      </c>
      <c r="J6" s="57">
        <f t="shared" si="1"/>
        <v>46.75</v>
      </c>
      <c r="K6" s="57">
        <f t="shared" si="1"/>
        <v>46.75</v>
      </c>
    </row>
    <row r="7" spans="2:11" x14ac:dyDescent="0.3">
      <c r="B7" s="64" t="s">
        <v>108</v>
      </c>
      <c r="C7" s="59">
        <f>BS!C6</f>
        <v>1327.41</v>
      </c>
      <c r="D7" s="59">
        <f>BS!D6</f>
        <v>2220.21</v>
      </c>
      <c r="E7" s="59">
        <f>BS!E6</f>
        <v>2365.04</v>
      </c>
      <c r="F7" s="59"/>
      <c r="G7" s="57">
        <f>'PP&amp;E schedule'!F8</f>
        <v>2489.9534780157237</v>
      </c>
      <c r="H7" s="57">
        <f>'PP&amp;E schedule'!G8</f>
        <v>2621.4644668515539</v>
      </c>
      <c r="I7" s="57">
        <f>'PP&amp;E schedule'!H8</f>
        <v>2759.9214248941503</v>
      </c>
      <c r="J7" s="57">
        <f>'PP&amp;E schedule'!I8</f>
        <v>2905.6912149330669</v>
      </c>
      <c r="K7" s="57">
        <f>'PP&amp;E schedule'!J8</f>
        <v>3059.1600762195667</v>
      </c>
    </row>
    <row r="8" spans="2:11" x14ac:dyDescent="0.3">
      <c r="B8" s="64" t="s">
        <v>115</v>
      </c>
      <c r="C8" s="59">
        <f>BS!C7</f>
        <v>535.27</v>
      </c>
      <c r="D8" s="59">
        <f>BS!D7</f>
        <v>104.47</v>
      </c>
      <c r="E8" s="59">
        <f>BS!E7</f>
        <v>187.48</v>
      </c>
      <c r="F8" s="59"/>
      <c r="G8" s="59">
        <f>$E$8</f>
        <v>187.48</v>
      </c>
      <c r="H8" s="59">
        <f t="shared" ref="H8:K8" si="2">$E$8</f>
        <v>187.48</v>
      </c>
      <c r="I8" s="59">
        <f t="shared" si="2"/>
        <v>187.48</v>
      </c>
      <c r="J8" s="59">
        <f t="shared" si="2"/>
        <v>187.48</v>
      </c>
      <c r="K8" s="59">
        <f t="shared" si="2"/>
        <v>187.48</v>
      </c>
    </row>
    <row r="9" spans="2:11" x14ac:dyDescent="0.3">
      <c r="B9" s="64" t="s">
        <v>240</v>
      </c>
      <c r="C9" s="59">
        <f>SUM(BS!C11:C13)</f>
        <v>1334.74</v>
      </c>
      <c r="D9" s="59">
        <f>SUM(BS!D11:D13)</f>
        <v>1688.14</v>
      </c>
      <c r="E9" s="59">
        <f>SUM(BS!E11:E13)</f>
        <v>1093.29</v>
      </c>
      <c r="F9" s="59"/>
      <c r="G9" s="57">
        <f>$E$9</f>
        <v>1093.29</v>
      </c>
      <c r="H9" s="57">
        <f t="shared" ref="H9:K9" si="3">$E$9</f>
        <v>1093.29</v>
      </c>
      <c r="I9" s="57">
        <f t="shared" si="3"/>
        <v>1093.29</v>
      </c>
      <c r="J9" s="57">
        <f t="shared" si="3"/>
        <v>1093.29</v>
      </c>
      <c r="K9" s="57">
        <f t="shared" si="3"/>
        <v>1093.29</v>
      </c>
    </row>
    <row r="10" spans="2:11" x14ac:dyDescent="0.3">
      <c r="B10" s="64" t="s">
        <v>239</v>
      </c>
      <c r="C10" s="59">
        <f>BS!C21+BS!C24+BS!C25+BS!C26</f>
        <v>1969.19</v>
      </c>
      <c r="D10" s="59">
        <f>BS!D21+BS!D24+BS!D25+BS!D26</f>
        <v>2863.13</v>
      </c>
      <c r="E10" s="59">
        <f>BS!E21+BS!E24+BS!E25+BS!E26</f>
        <v>2728.91</v>
      </c>
      <c r="F10" s="59"/>
      <c r="G10" s="57">
        <f>$E$10</f>
        <v>2728.91</v>
      </c>
      <c r="H10" s="57">
        <f t="shared" ref="H10:K10" si="4">$E$10</f>
        <v>2728.91</v>
      </c>
      <c r="I10" s="57">
        <f t="shared" si="4"/>
        <v>2728.91</v>
      </c>
      <c r="J10" s="57">
        <f t="shared" si="4"/>
        <v>2728.91</v>
      </c>
      <c r="K10" s="57">
        <f t="shared" si="4"/>
        <v>2728.91</v>
      </c>
    </row>
    <row r="11" spans="2:11" x14ac:dyDescent="0.3">
      <c r="B11" s="64" t="s">
        <v>241</v>
      </c>
      <c r="C11" s="59">
        <f>BS!C27</f>
        <v>120.29</v>
      </c>
      <c r="D11" s="59">
        <f>BS!D27</f>
        <v>163.08000000000001</v>
      </c>
      <c r="E11" s="59">
        <f>BS!E27</f>
        <v>121.05</v>
      </c>
      <c r="F11" s="59"/>
      <c r="G11" s="57">
        <f>G32*'P&amp;L Forecast'!G10</f>
        <v>150.11492956745064</v>
      </c>
      <c r="H11" s="57">
        <f>H32*'P&amp;L Forecast'!H10</f>
        <v>156.42731967409506</v>
      </c>
      <c r="I11" s="57">
        <f>I32*'P&amp;L Forecast'!I10</f>
        <v>148.89955189746388</v>
      </c>
      <c r="J11" s="57">
        <f>J32*'P&amp;L Forecast'!J10</f>
        <v>168.63995806712737</v>
      </c>
      <c r="K11" s="57">
        <f>K32*'P&amp;L Forecast'!K10</f>
        <v>170.42923648494693</v>
      </c>
    </row>
    <row r="12" spans="2:11" x14ac:dyDescent="0.3">
      <c r="B12" s="64" t="s">
        <v>242</v>
      </c>
      <c r="C12" s="65">
        <f>BS!C16+BS!C14+BS!C15</f>
        <v>162.44999999999999</v>
      </c>
      <c r="D12" s="65">
        <f>BS!D16+BS!D14+BS!D15</f>
        <v>131.69</v>
      </c>
      <c r="E12" s="65">
        <f>BS!E16+BS!E14+BS!E15</f>
        <v>149.19</v>
      </c>
      <c r="F12" s="59"/>
      <c r="G12" s="57">
        <f>G31*'P&amp;L Forecast'!G10</f>
        <v>166.04005229182266</v>
      </c>
      <c r="H12" s="57">
        <f>H31*'P&amp;L Forecast'!H10</f>
        <v>172.50653617865808</v>
      </c>
      <c r="I12" s="57">
        <f>I31*'P&amp;L Forecast'!I10</f>
        <v>179.24043533120886</v>
      </c>
      <c r="J12" s="57">
        <f>J31*'P&amp;L Forecast'!J10</f>
        <v>186.25200856459139</v>
      </c>
      <c r="K12" s="57">
        <f>K31*'P&amp;L Forecast'!K10</f>
        <v>193.55194693630253</v>
      </c>
    </row>
    <row r="13" spans="2:11" x14ac:dyDescent="0.3">
      <c r="B13" s="64" t="s">
        <v>109</v>
      </c>
      <c r="C13" s="59">
        <f>BS!C19</f>
        <v>1251.6400000000001</v>
      </c>
      <c r="D13" s="59">
        <f>BS!D19</f>
        <v>1074.6199999999999</v>
      </c>
      <c r="E13" s="59">
        <f>BS!E19</f>
        <v>1075.44</v>
      </c>
      <c r="F13" s="59"/>
      <c r="G13" s="57">
        <f>-(G39*'P&amp;L Forecast'!G11)/360</f>
        <v>1126.896268195751</v>
      </c>
      <c r="H13" s="57">
        <f>-(H39*'P&amp;L Forecast'!H11)/360</f>
        <v>1170.7836101945081</v>
      </c>
      <c r="I13" s="57">
        <f>-(I39*'P&amp;L Forecast'!I11)/360</f>
        <v>1216.4858713096701</v>
      </c>
      <c r="J13" s="57">
        <f>-(J39*'P&amp;L Forecast'!J11)/360</f>
        <v>1264.0726770340689</v>
      </c>
      <c r="K13" s="57">
        <f>-(K39*'P&amp;L Forecast'!K11)/360</f>
        <v>1313.6165864438431</v>
      </c>
    </row>
    <row r="14" spans="2:11" x14ac:dyDescent="0.3">
      <c r="B14" s="64" t="s">
        <v>110</v>
      </c>
      <c r="C14" s="59">
        <f>BS!C22</f>
        <v>253.85</v>
      </c>
      <c r="D14" s="59">
        <f>BS!D22</f>
        <v>278.42</v>
      </c>
      <c r="E14" s="59">
        <f>BS!E22</f>
        <v>347.05</v>
      </c>
      <c r="F14" s="59"/>
      <c r="G14" s="57">
        <f>(G37*'P&amp;L Forecast'!G10)/360</f>
        <v>360.53174355048344</v>
      </c>
      <c r="H14" s="57">
        <f>(H37*'P&amp;L Forecast'!H10)/360</f>
        <v>374.57276966546198</v>
      </c>
      <c r="I14" s="57">
        <f>(I37*'P&amp;L Forecast'!I10)/360</f>
        <v>389.19444900639178</v>
      </c>
      <c r="J14" s="57">
        <f>(J37*'P&amp;L Forecast'!J10)/360</f>
        <v>404.41905709324317</v>
      </c>
      <c r="K14" s="57">
        <f>(K37*'P&amp;L Forecast'!K10)/360</f>
        <v>420.26980799723879</v>
      </c>
    </row>
    <row r="15" spans="2:11" x14ac:dyDescent="0.3">
      <c r="B15" s="64" t="s">
        <v>117</v>
      </c>
      <c r="C15" s="59">
        <f>BS!C28</f>
        <v>0</v>
      </c>
      <c r="D15" s="59">
        <f>BS!D28</f>
        <v>32.36</v>
      </c>
      <c r="E15" s="59">
        <f>BS!E28</f>
        <v>6.41</v>
      </c>
      <c r="F15" s="59"/>
      <c r="G15" s="59">
        <f>0</f>
        <v>0</v>
      </c>
      <c r="H15" s="59">
        <f>0</f>
        <v>0</v>
      </c>
      <c r="I15" s="59">
        <f>0</f>
        <v>0</v>
      </c>
      <c r="J15" s="59">
        <f>0</f>
        <v>0</v>
      </c>
      <c r="K15" s="59">
        <f>0</f>
        <v>0</v>
      </c>
    </row>
    <row r="16" spans="2:11" ht="15" thickBot="1" x14ac:dyDescent="0.35">
      <c r="B16" s="64" t="s">
        <v>118</v>
      </c>
      <c r="C16" s="255">
        <f>'Cash Flow'!C8</f>
        <v>9.9700000000000006</v>
      </c>
      <c r="D16" s="255">
        <f>'Cash Flow'!D8</f>
        <v>9.09</v>
      </c>
      <c r="E16" s="255">
        <f>'Cash Flow'!E8</f>
        <v>240.85</v>
      </c>
      <c r="F16" s="59"/>
      <c r="G16" s="57">
        <f>E16+'Cash Flow Forecast'!F25</f>
        <v>448.77278405829441</v>
      </c>
      <c r="H16" s="57">
        <f>G16+'Cash Flow Forecast'!G25</f>
        <v>858.57349471461941</v>
      </c>
      <c r="I16" s="57">
        <f>H16+'Cash Flow Forecast'!H25</f>
        <v>1318.1221322517549</v>
      </c>
      <c r="J16" s="57">
        <f>I16+'Cash Flow Forecast'!I25</f>
        <v>1785.8653893637634</v>
      </c>
      <c r="K16" s="57">
        <f>J16+'Cash Flow Forecast'!J25</f>
        <v>2306.7736425659441</v>
      </c>
    </row>
    <row r="17" spans="2:11" ht="15" thickBot="1" x14ac:dyDescent="0.35">
      <c r="B17" s="66" t="s">
        <v>119</v>
      </c>
      <c r="C17" s="56">
        <f>SUM(C5:C16)</f>
        <v>7014.8300000000008</v>
      </c>
      <c r="D17" s="56">
        <f>SUM(D5:D16)</f>
        <v>8638.4600000000009</v>
      </c>
      <c r="E17" s="56">
        <f>SUM(E5:E16)</f>
        <v>8370.84</v>
      </c>
      <c r="F17" s="57"/>
      <c r="G17" s="56">
        <f>SUM(G5:G16)</f>
        <v>8808.1192556795249</v>
      </c>
      <c r="H17" s="56">
        <f>SUM(H5:H16)</f>
        <v>9420.1381972788949</v>
      </c>
      <c r="I17" s="56">
        <f>SUM(I5:I16)</f>
        <v>10077.673864690638</v>
      </c>
      <c r="J17" s="56">
        <f>SUM(J5:J16)</f>
        <v>10780.750305055861</v>
      </c>
      <c r="K17" s="56">
        <f>SUM(K5:K16)</f>
        <v>11529.611296647841</v>
      </c>
    </row>
    <row r="18" spans="2:11" ht="3" customHeight="1" x14ac:dyDescent="0.3">
      <c r="B18" s="67"/>
      <c r="C18" s="58"/>
      <c r="D18" s="146"/>
      <c r="E18" s="146"/>
      <c r="F18" s="57"/>
      <c r="G18" s="57"/>
      <c r="H18" s="57"/>
      <c r="I18" s="57"/>
      <c r="J18" s="57"/>
      <c r="K18" s="57"/>
    </row>
    <row r="19" spans="2:11" x14ac:dyDescent="0.3">
      <c r="B19" s="64" t="s">
        <v>246</v>
      </c>
      <c r="C19" s="59">
        <f>SUM(BS!C45,BS!C46,BS!C50)</f>
        <v>2038.31</v>
      </c>
      <c r="D19" s="59">
        <f>SUM(BS!D45,BS!D46,BS!D50)</f>
        <v>1804.56</v>
      </c>
      <c r="E19" s="59">
        <f>SUM(BS!E45,BS!E46,BS!E50)</f>
        <v>1572.1100000000001</v>
      </c>
      <c r="F19" s="59"/>
      <c r="G19" s="57">
        <f>E19*(1+G33)</f>
        <v>1414.8990000000001</v>
      </c>
      <c r="H19" s="57">
        <f>G19*(1+H33)</f>
        <v>1273.4091000000001</v>
      </c>
      <c r="I19" s="57">
        <f t="shared" ref="I19:K19" si="5">H19*(1+I33)</f>
        <v>1146.0681900000002</v>
      </c>
      <c r="J19" s="57">
        <f t="shared" si="5"/>
        <v>1031.4613710000001</v>
      </c>
      <c r="K19" s="57">
        <f t="shared" si="5"/>
        <v>928.31523390000007</v>
      </c>
    </row>
    <row r="20" spans="2:11" x14ac:dyDescent="0.3">
      <c r="B20" s="64" t="s">
        <v>209</v>
      </c>
      <c r="C20" s="59">
        <f>BS!C42</f>
        <v>750.93999999999994</v>
      </c>
      <c r="D20" s="59">
        <f>BS!D42</f>
        <v>1611.93</v>
      </c>
      <c r="E20" s="59">
        <f>BS!E42</f>
        <v>970.24</v>
      </c>
      <c r="F20" s="59"/>
      <c r="G20" s="57">
        <f>'financial liabilites'!F9</f>
        <v>906.37871596665912</v>
      </c>
      <c r="H20" s="57">
        <f>'financial liabilites'!G9</f>
        <v>836.76991637031745</v>
      </c>
      <c r="I20" s="57">
        <f>'financial liabilites'!H9</f>
        <v>760.89632481030503</v>
      </c>
      <c r="J20" s="57">
        <f>'financial liabilites'!I9</f>
        <v>678.19411000989157</v>
      </c>
      <c r="K20" s="57">
        <f>'financial liabilites'!J9</f>
        <v>588.04869587744088</v>
      </c>
    </row>
    <row r="21" spans="2:11" x14ac:dyDescent="0.3">
      <c r="B21" s="64" t="s">
        <v>111</v>
      </c>
      <c r="C21" s="59">
        <f>SUM(BS!C48:C49)</f>
        <v>1194.21</v>
      </c>
      <c r="D21" s="59">
        <f>SUM(BS!D48:D49)</f>
        <v>1308.76</v>
      </c>
      <c r="E21" s="59">
        <f>SUM(BS!E48:E49)</f>
        <v>1513.14</v>
      </c>
      <c r="F21" s="59"/>
      <c r="G21" s="57">
        <f>-(G38*'P&amp;L Forecast'!G11)/360</f>
        <v>1448.3053618860754</v>
      </c>
      <c r="H21" s="57">
        <f>-(H38*'P&amp;L Forecast'!H11)/360</f>
        <v>1504.7100856655734</v>
      </c>
      <c r="I21" s="57">
        <f>-(I38*'P&amp;L Forecast'!I11)/360</f>
        <v>1563.4473729310489</v>
      </c>
      <c r="J21" s="57">
        <f>-(J38*'P&amp;L Forecast'!J11)/360</f>
        <v>1624.6067074952007</v>
      </c>
      <c r="K21" s="57">
        <f>-(K38*'P&amp;L Forecast'!K11)/360</f>
        <v>1688.2813434595728</v>
      </c>
    </row>
    <row r="22" spans="2:11" x14ac:dyDescent="0.3">
      <c r="B22" s="64" t="s">
        <v>128</v>
      </c>
      <c r="C22" s="59">
        <f>BS!C51+BS!C53</f>
        <v>177.67000000000002</v>
      </c>
      <c r="D22" s="59">
        <f>BS!D51+BS!D53</f>
        <v>223.2</v>
      </c>
      <c r="E22" s="59">
        <f>BS!E51+BS!E53</f>
        <v>236.64</v>
      </c>
      <c r="F22" s="59"/>
      <c r="G22" s="57">
        <f>G34*'P&amp;L Forecast'!G10</f>
        <v>235.41882268971102</v>
      </c>
      <c r="H22" s="57">
        <f>H34*'P&amp;L Forecast'!H10</f>
        <v>244.58728537427592</v>
      </c>
      <c r="I22" s="57">
        <f>I34*'P&amp;L Forecast'!I10</f>
        <v>254.13490107737468</v>
      </c>
      <c r="J22" s="57">
        <f>J34*'P&amp;L Forecast'!J10</f>
        <v>264.07621519419098</v>
      </c>
      <c r="K22" s="57">
        <f>K34*'P&amp;L Forecast'!K10</f>
        <v>274.4263859719938</v>
      </c>
    </row>
    <row r="23" spans="2:11" ht="15" thickBot="1" x14ac:dyDescent="0.35">
      <c r="B23" s="64" t="s">
        <v>120</v>
      </c>
      <c r="C23" s="59">
        <f>BS!C52</f>
        <v>451.16</v>
      </c>
      <c r="D23" s="59">
        <f>BS!D52</f>
        <v>508.86</v>
      </c>
      <c r="E23" s="59">
        <f>BS!E52</f>
        <v>551.19000000000005</v>
      </c>
      <c r="F23" s="59"/>
      <c r="G23" s="57">
        <f>E23*(1+G35)</f>
        <v>609.36217609847643</v>
      </c>
      <c r="H23" s="57">
        <f>G23*(1+H35)</f>
        <v>673.67379970512991</v>
      </c>
      <c r="I23" s="57">
        <f>H23*(1+I35)</f>
        <v>744.77282347075788</v>
      </c>
      <c r="J23" s="57">
        <f>I23*(1+J35)</f>
        <v>823.37558447930371</v>
      </c>
      <c r="K23" s="57">
        <f>J23*(1+K35)</f>
        <v>910.2740214892566</v>
      </c>
    </row>
    <row r="24" spans="2:11" ht="15" thickBot="1" x14ac:dyDescent="0.35">
      <c r="B24" s="66" t="s">
        <v>122</v>
      </c>
      <c r="C24" s="56">
        <f>SUM(C19:C23)</f>
        <v>4612.29</v>
      </c>
      <c r="D24" s="56">
        <f>SUM(D19:D23)</f>
        <v>5457.3099999999995</v>
      </c>
      <c r="E24" s="56">
        <f>SUM(E19:E23)</f>
        <v>4843.3200000000015</v>
      </c>
      <c r="F24" s="57"/>
      <c r="G24" s="56">
        <f>SUM(G19:G23)</f>
        <v>4614.3640766409217</v>
      </c>
      <c r="H24" s="56">
        <f>SUM(H19:H23)</f>
        <v>4533.1501871152968</v>
      </c>
      <c r="I24" s="56">
        <f>SUM(I19:I23)</f>
        <v>4469.319612289486</v>
      </c>
      <c r="J24" s="56">
        <f>SUM(J19:J23)</f>
        <v>4421.713988178587</v>
      </c>
      <c r="K24" s="56">
        <f>SUM(K19:K23)</f>
        <v>4389.345680698264</v>
      </c>
    </row>
    <row r="25" spans="2:11" ht="3.6" customHeight="1" thickBot="1" x14ac:dyDescent="0.35">
      <c r="B25" s="158"/>
      <c r="C25" s="146"/>
      <c r="D25" s="146"/>
      <c r="E25" s="146"/>
      <c r="F25" s="57"/>
      <c r="G25" s="146"/>
      <c r="H25" s="146"/>
      <c r="I25" s="146"/>
      <c r="J25" s="146"/>
      <c r="K25" s="146"/>
    </row>
    <row r="26" spans="2:11" ht="12.6" customHeight="1" thickBot="1" x14ac:dyDescent="0.35">
      <c r="B26" s="68" t="s">
        <v>121</v>
      </c>
      <c r="C26" s="55">
        <f>BS!C35</f>
        <v>2402.54</v>
      </c>
      <c r="D26" s="55">
        <f>BS!D35</f>
        <v>3181.15</v>
      </c>
      <c r="E26" s="55">
        <f>BS!E35</f>
        <v>3527.52</v>
      </c>
      <c r="F26" s="57"/>
      <c r="G26" s="55">
        <f>'Equity Schedule'!F10</f>
        <v>4193.7551790386033</v>
      </c>
      <c r="H26" s="55">
        <f>'Equity Schedule'!G10</f>
        <v>4886.988010163599</v>
      </c>
      <c r="I26" s="55">
        <f>'Equity Schedule'!H10</f>
        <v>5608.3542524011527</v>
      </c>
      <c r="J26" s="55">
        <f>'Equity Schedule'!I10</f>
        <v>6359.0363168772747</v>
      </c>
      <c r="K26" s="55">
        <f>'Equity Schedule'!J10</f>
        <v>7140.2656159495782</v>
      </c>
    </row>
    <row r="27" spans="2:11" ht="15" thickBot="1" x14ac:dyDescent="0.35">
      <c r="B27" s="66" t="s">
        <v>123</v>
      </c>
      <c r="C27" s="56">
        <f>C24+C26</f>
        <v>7014.83</v>
      </c>
      <c r="D27" s="56">
        <f>D24+D26</f>
        <v>8638.4599999999991</v>
      </c>
      <c r="E27" s="56">
        <f>E24+E26</f>
        <v>8370.840000000002</v>
      </c>
      <c r="F27" s="57"/>
      <c r="G27" s="56">
        <f>G24+G26</f>
        <v>8808.1192556795249</v>
      </c>
      <c r="H27" s="56">
        <f t="shared" ref="H27:K27" si="6">H24+H26</f>
        <v>9420.1381972788949</v>
      </c>
      <c r="I27" s="56">
        <f t="shared" si="6"/>
        <v>10077.673864690638</v>
      </c>
      <c r="J27" s="56">
        <f t="shared" si="6"/>
        <v>10780.750305055863</v>
      </c>
      <c r="K27" s="56">
        <f t="shared" si="6"/>
        <v>11529.611296647843</v>
      </c>
    </row>
    <row r="28" spans="2:11" x14ac:dyDescent="0.3">
      <c r="B28" s="63"/>
      <c r="C28" s="59"/>
      <c r="D28" s="59"/>
      <c r="E28" s="59"/>
      <c r="F28" s="59"/>
      <c r="G28" s="59"/>
      <c r="H28" s="59"/>
      <c r="I28" s="59"/>
      <c r="J28" s="59"/>
      <c r="K28" s="59"/>
    </row>
    <row r="29" spans="2:11" outlineLevel="1" x14ac:dyDescent="0.3">
      <c r="B29" s="69" t="s">
        <v>124</v>
      </c>
      <c r="C29" s="70">
        <f>C27-C17</f>
        <v>0</v>
      </c>
      <c r="D29" s="70">
        <f>D27-D17</f>
        <v>0</v>
      </c>
      <c r="E29" s="70">
        <f>E27-E17</f>
        <v>0</v>
      </c>
      <c r="F29" s="59"/>
      <c r="G29" s="70">
        <f>G27-G17</f>
        <v>0</v>
      </c>
      <c r="H29" s="70">
        <f>H27-H17</f>
        <v>0</v>
      </c>
      <c r="I29" s="70">
        <f>I27-I17</f>
        <v>0</v>
      </c>
      <c r="J29" s="70">
        <f>J27-J17</f>
        <v>0</v>
      </c>
      <c r="K29" s="70">
        <f>K27-K17</f>
        <v>0</v>
      </c>
    </row>
    <row r="30" spans="2:11" outlineLevel="1" x14ac:dyDescent="0.3">
      <c r="B30" s="59"/>
      <c r="C30" s="59"/>
      <c r="D30" s="59"/>
      <c r="E30" s="59"/>
      <c r="F30" s="59"/>
      <c r="G30" s="59"/>
      <c r="H30" s="59"/>
      <c r="I30" s="59"/>
      <c r="J30" s="59"/>
      <c r="K30" s="59"/>
    </row>
    <row r="31" spans="2:11" outlineLevel="1" x14ac:dyDescent="0.3">
      <c r="B31" s="71" t="s">
        <v>243</v>
      </c>
      <c r="C31" s="92">
        <f>C12/'P&amp;L Forecast'!C10</f>
        <v>1.1830850517622468E-2</v>
      </c>
      <c r="D31" s="92">
        <f>D12/'P&amp;L Forecast'!D10</f>
        <v>8.3142822689044327E-3</v>
      </c>
      <c r="E31" s="92">
        <f>E12/'P&amp;L Forecast'!E10</f>
        <v>9.0990650876819554E-3</v>
      </c>
      <c r="F31" s="73"/>
      <c r="G31" s="94">
        <f>AVERAGE($C$31:$E$31)</f>
        <v>9.7480659580696186E-3</v>
      </c>
      <c r="H31" s="94">
        <f>AVERAGE($C$31:$E$31)</f>
        <v>9.7480659580696186E-3</v>
      </c>
      <c r="I31" s="94">
        <f>AVERAGE($C$31:$E$31)</f>
        <v>9.7480659580696186E-3</v>
      </c>
      <c r="J31" s="94">
        <f>AVERAGE($C$31:$E$31)</f>
        <v>9.7480659580696186E-3</v>
      </c>
      <c r="K31" s="94">
        <f>AVERAGE($C$31:$E$31)</f>
        <v>9.7480659580696186E-3</v>
      </c>
    </row>
    <row r="32" spans="2:11" outlineLevel="1" x14ac:dyDescent="0.3">
      <c r="B32" s="71" t="s">
        <v>244</v>
      </c>
      <c r="C32" s="92">
        <f>C11/'P&amp;L Forecast'!C10</f>
        <v>8.7604371115100436E-3</v>
      </c>
      <c r="D32" s="92">
        <f>D11/'P&amp;L Forecast'!D10</f>
        <v>1.0296098051582769E-2</v>
      </c>
      <c r="E32" s="92">
        <f>E11/'P&amp;L Forecast'!E10</f>
        <v>7.3828127144171911E-3</v>
      </c>
      <c r="F32" s="73"/>
      <c r="G32" s="94">
        <f>AVERAGE(C32:E32)</f>
        <v>8.8131159591700019E-3</v>
      </c>
      <c r="H32" s="94">
        <f t="shared" ref="H32:K32" si="7">AVERAGE(D32:F32)</f>
        <v>8.8394553829999802E-3</v>
      </c>
      <c r="I32" s="94">
        <f t="shared" si="7"/>
        <v>8.0979643367935956E-3</v>
      </c>
      <c r="J32" s="94">
        <f t="shared" si="7"/>
        <v>8.8262856710849911E-3</v>
      </c>
      <c r="K32" s="94">
        <f t="shared" si="7"/>
        <v>8.5835118929878593E-3</v>
      </c>
    </row>
    <row r="33" spans="2:11" outlineLevel="1" x14ac:dyDescent="0.3">
      <c r="B33" s="71" t="s">
        <v>247</v>
      </c>
      <c r="C33" s="92"/>
      <c r="D33" s="92">
        <f>D19/C19-1</f>
        <v>-0.11467833646501269</v>
      </c>
      <c r="E33" s="92">
        <f>E19/D19-1</f>
        <v>-0.12881256372744598</v>
      </c>
      <c r="F33" s="73"/>
      <c r="G33" s="94">
        <v>-0.1</v>
      </c>
      <c r="H33" s="94">
        <v>-0.1</v>
      </c>
      <c r="I33" s="94">
        <v>-0.1</v>
      </c>
      <c r="J33" s="94">
        <v>-0.1</v>
      </c>
      <c r="K33" s="94">
        <v>-0.1</v>
      </c>
    </row>
    <row r="34" spans="2:11" outlineLevel="1" x14ac:dyDescent="0.3">
      <c r="B34" s="71" t="s">
        <v>130</v>
      </c>
      <c r="C34" s="92">
        <f>C22/'P&amp;L Forecast'!C10</f>
        <v>1.2939287235863245E-2</v>
      </c>
      <c r="D34" s="92">
        <f>D22/'P&amp;L Forecast'!D10</f>
        <v>1.4091789827773326E-2</v>
      </c>
      <c r="E34" s="92">
        <f>E22/'P&amp;L Forecast'!E10</f>
        <v>1.4432621237006891E-2</v>
      </c>
      <c r="F34" s="73"/>
      <c r="G34" s="94">
        <f>AVERAGE($C$34:$E$34)</f>
        <v>1.3821232766881153E-2</v>
      </c>
      <c r="H34" s="94">
        <f>AVERAGE($C$34:$E$34)</f>
        <v>1.3821232766881153E-2</v>
      </c>
      <c r="I34" s="94">
        <f>AVERAGE($C$34:$E$34)</f>
        <v>1.3821232766881153E-2</v>
      </c>
      <c r="J34" s="94">
        <f>AVERAGE($C$34:$E$34)</f>
        <v>1.3821232766881153E-2</v>
      </c>
      <c r="K34" s="94">
        <f>AVERAGE($C$34:$E$34)</f>
        <v>1.3821232766881153E-2</v>
      </c>
    </row>
    <row r="35" spans="2:11" outlineLevel="1" x14ac:dyDescent="0.3">
      <c r="B35" s="71" t="s">
        <v>129</v>
      </c>
      <c r="C35" s="93"/>
      <c r="D35" s="93">
        <f>(D23/C23)-1</f>
        <v>0.12789254366521852</v>
      </c>
      <c r="E35" s="93">
        <f>(E23/D23)-1</f>
        <v>8.3185945053649402E-2</v>
      </c>
      <c r="F35" s="75"/>
      <c r="G35" s="95">
        <f>AVERAGE($D$35:$E$35)</f>
        <v>0.10553924435943396</v>
      </c>
      <c r="H35" s="95">
        <f>AVERAGE($D$35:$E$35)</f>
        <v>0.10553924435943396</v>
      </c>
      <c r="I35" s="95">
        <f>AVERAGE($D$35:$E$35)</f>
        <v>0.10553924435943396</v>
      </c>
      <c r="J35" s="95">
        <f>AVERAGE($D$35:$E$35)</f>
        <v>0.10553924435943396</v>
      </c>
      <c r="K35" s="95">
        <f>AVERAGE($D$35:$E$35)</f>
        <v>0.10553924435943396</v>
      </c>
    </row>
    <row r="36" spans="2:11" outlineLevel="1" x14ac:dyDescent="0.3"/>
    <row r="37" spans="2:11" x14ac:dyDescent="0.3">
      <c r="B37" s="71" t="s">
        <v>125</v>
      </c>
      <c r="C37" s="72">
        <f>(C14/'P&amp;L Forecast'!C10)*360</f>
        <v>6.6554269338470098</v>
      </c>
      <c r="D37" s="72">
        <f>(D14/'P&amp;L Forecast'!D10)*360</f>
        <v>6.3281227804010483</v>
      </c>
      <c r="E37" s="72">
        <f>(E14/'P&amp;L Forecast'!E10)*360</f>
        <v>7.6199409740921524</v>
      </c>
      <c r="F37" s="73"/>
      <c r="G37" s="74">
        <f>$E$37</f>
        <v>7.6199409740921524</v>
      </c>
      <c r="H37" s="74">
        <f>$E$37</f>
        <v>7.6199409740921524</v>
      </c>
      <c r="I37" s="74">
        <f>$E$37</f>
        <v>7.6199409740921524</v>
      </c>
      <c r="J37" s="74">
        <f>$E$37</f>
        <v>7.6199409740921524</v>
      </c>
      <c r="K37" s="74">
        <f>$E$37</f>
        <v>7.6199409740921524</v>
      </c>
    </row>
    <row r="38" spans="2:11" x14ac:dyDescent="0.3">
      <c r="B38" s="71" t="s">
        <v>126</v>
      </c>
      <c r="C38" s="72">
        <f>-(C21/'P&amp;L Forecast'!C11)*360</f>
        <v>50.7229558175314</v>
      </c>
      <c r="D38" s="72">
        <f>-(D21/'P&amp;L Forecast'!D11)*360</f>
        <v>49.82915546493107</v>
      </c>
      <c r="E38" s="72">
        <f>-(E21/'P&amp;L Forecast'!E11)*360</f>
        <v>57.777263947917454</v>
      </c>
      <c r="F38" s="59"/>
      <c r="G38" s="74">
        <f>AVERAGE($C$38:$E$38)</f>
        <v>52.776458410126644</v>
      </c>
      <c r="H38" s="74">
        <f t="shared" ref="H38:K38" si="8">AVERAGE($C$38:$E$38)</f>
        <v>52.776458410126644</v>
      </c>
      <c r="I38" s="74">
        <f t="shared" si="8"/>
        <v>52.776458410126644</v>
      </c>
      <c r="J38" s="74">
        <f t="shared" si="8"/>
        <v>52.776458410126644</v>
      </c>
      <c r="K38" s="74">
        <f t="shared" si="8"/>
        <v>52.776458410126644</v>
      </c>
    </row>
    <row r="39" spans="2:11" x14ac:dyDescent="0.3">
      <c r="B39" s="71" t="s">
        <v>127</v>
      </c>
      <c r="C39" s="72">
        <f>-(C13/'P&amp;L Forecast'!C11)*360</f>
        <v>53.162241498107534</v>
      </c>
      <c r="D39" s="72">
        <f>-(D13/'P&amp;L Forecast'!D11)*360</f>
        <v>40.914611575632065</v>
      </c>
      <c r="E39" s="72">
        <f>-(E13/'P&amp;L Forecast'!E11)*360</f>
        <v>41.064264205657338</v>
      </c>
      <c r="F39" s="59"/>
      <c r="G39" s="74">
        <f>$E$39</f>
        <v>41.064264205657338</v>
      </c>
      <c r="H39" s="74">
        <f>$E$39</f>
        <v>41.064264205657338</v>
      </c>
      <c r="I39" s="74">
        <f>$E$39</f>
        <v>41.064264205657338</v>
      </c>
      <c r="J39" s="74">
        <f>$E$39</f>
        <v>41.064264205657338</v>
      </c>
      <c r="K39" s="74">
        <f>$E$39</f>
        <v>41.064264205657338</v>
      </c>
    </row>
    <row r="40" spans="2:11" x14ac:dyDescent="0.3">
      <c r="B40" s="71" t="s">
        <v>205</v>
      </c>
      <c r="C40" s="72">
        <f>C37+C39-C38</f>
        <v>9.0947126144231447</v>
      </c>
      <c r="D40" s="72">
        <f>D37+D39-D38</f>
        <v>-2.5864211088979587</v>
      </c>
      <c r="E40" s="72">
        <f>E37+E39-E38</f>
        <v>-9.093058768167964</v>
      </c>
      <c r="F40" s="59"/>
      <c r="G40" s="74">
        <f>G37+G39-G38</f>
        <v>-4.0922532303771533</v>
      </c>
      <c r="H40" s="74">
        <f>H37+H39-H38</f>
        <v>-4.0922532303771533</v>
      </c>
      <c r="I40" s="74">
        <f>I37+I39-I38</f>
        <v>-4.0922532303771533</v>
      </c>
      <c r="J40" s="74">
        <f>J37+J39-J38</f>
        <v>-4.0922532303771533</v>
      </c>
      <c r="K40" s="74">
        <f>K37+K39-K38</f>
        <v>-4.0922532303771533</v>
      </c>
    </row>
    <row r="41" spans="2:11" x14ac:dyDescent="0.3">
      <c r="D41" s="98"/>
      <c r="E41" s="98"/>
      <c r="G41" s="54"/>
      <c r="H41" s="54"/>
      <c r="I41" s="54"/>
      <c r="J41" s="54"/>
      <c r="K41" s="54"/>
    </row>
    <row r="46" spans="2:11" x14ac:dyDescent="0.3">
      <c r="B46" s="59"/>
      <c r="C46" s="59"/>
      <c r="D46" s="59"/>
      <c r="E46" s="59"/>
      <c r="F46" s="59"/>
      <c r="G46" s="59"/>
      <c r="H46" s="59"/>
      <c r="I46" s="59"/>
      <c r="J46" s="59"/>
      <c r="K46" s="59"/>
    </row>
    <row r="47" spans="2:11" x14ac:dyDescent="0.3">
      <c r="B47" s="59"/>
      <c r="C47" s="59"/>
      <c r="D47" s="59"/>
      <c r="E47" s="59"/>
      <c r="F47" s="59"/>
      <c r="G47" s="59"/>
      <c r="H47" s="59"/>
      <c r="I47" s="59"/>
      <c r="J47" s="59"/>
      <c r="K47" s="59"/>
    </row>
    <row r="48" spans="2:11" x14ac:dyDescent="0.3">
      <c r="B48" s="59"/>
      <c r="C48" s="59"/>
      <c r="D48" s="59"/>
      <c r="E48" s="59"/>
      <c r="F48" s="59"/>
      <c r="G48" s="59"/>
      <c r="H48" s="59"/>
      <c r="I48" s="59"/>
      <c r="J48" s="59"/>
      <c r="K48" s="59"/>
    </row>
    <row r="49" spans="2:11" x14ac:dyDescent="0.3">
      <c r="B49" s="59"/>
      <c r="C49" s="59"/>
      <c r="D49" s="59"/>
      <c r="E49" s="59"/>
      <c r="F49" s="59"/>
      <c r="G49" s="59"/>
      <c r="H49" s="59"/>
      <c r="I49" s="59"/>
      <c r="J49" s="59"/>
      <c r="K49" s="59"/>
    </row>
    <row r="50" spans="2:11" x14ac:dyDescent="0.3">
      <c r="B50" s="59"/>
      <c r="C50" s="59"/>
      <c r="D50" s="59"/>
      <c r="E50" s="59"/>
      <c r="F50" s="59"/>
      <c r="G50" s="59"/>
      <c r="H50" s="59"/>
      <c r="I50" s="59"/>
      <c r="J50" s="59"/>
      <c r="K50" s="59"/>
    </row>
    <row r="51" spans="2:11" x14ac:dyDescent="0.3">
      <c r="B51" s="59"/>
      <c r="C51" s="59"/>
      <c r="D51" s="59"/>
      <c r="E51" s="59"/>
      <c r="F51" s="59"/>
      <c r="G51" s="59"/>
      <c r="H51" s="59"/>
      <c r="I51" s="59"/>
      <c r="J51" s="59"/>
      <c r="K51" s="59"/>
    </row>
    <row r="52" spans="2:11" x14ac:dyDescent="0.3">
      <c r="B52" s="59"/>
      <c r="C52" s="59"/>
      <c r="D52" s="59"/>
      <c r="E52" s="59"/>
      <c r="F52" s="59"/>
      <c r="G52" s="59"/>
      <c r="H52" s="59"/>
      <c r="I52" s="59"/>
      <c r="J52" s="59"/>
      <c r="K52" s="59"/>
    </row>
    <row r="53" spans="2:11" x14ac:dyDescent="0.3">
      <c r="B53" s="59"/>
      <c r="C53" s="59"/>
      <c r="D53" s="59"/>
      <c r="E53" s="59"/>
      <c r="F53" s="59"/>
      <c r="G53" s="59"/>
      <c r="H53" s="59"/>
      <c r="I53" s="59"/>
      <c r="J53" s="59"/>
      <c r="K53" s="59"/>
    </row>
  </sheetData>
  <mergeCells count="3">
    <mergeCell ref="B1:C1"/>
    <mergeCell ref="C3:E3"/>
    <mergeCell ref="G3:K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008BA-EDD4-4722-B56D-07081CC30B96}">
  <sheetPr codeName="Sheet7">
    <tabColor theme="0"/>
  </sheetPr>
  <dimension ref="B1:K31"/>
  <sheetViews>
    <sheetView zoomScaleNormal="100" workbookViewId="0">
      <pane ySplit="4" topLeftCell="A8" activePane="bottomLeft" state="frozen"/>
      <selection pane="bottomLeft" activeCell="O11" sqref="O11"/>
    </sheetView>
  </sheetViews>
  <sheetFormatPr defaultRowHeight="14.4" outlineLevelRow="1" x14ac:dyDescent="0.3"/>
  <cols>
    <col min="1" max="1" width="1.88671875" style="1" customWidth="1"/>
    <col min="2" max="2" width="66" style="1" customWidth="1"/>
    <col min="3" max="4" width="11.88671875" style="1" customWidth="1"/>
    <col min="5" max="5" width="2.21875" style="1" customWidth="1"/>
    <col min="6" max="10" width="11.88671875" style="1" customWidth="1"/>
    <col min="11" max="16384" width="8.88671875" style="1"/>
  </cols>
  <sheetData>
    <row r="1" spans="2:11" ht="15.6" x14ac:dyDescent="0.3">
      <c r="B1" s="5" t="s">
        <v>160</v>
      </c>
      <c r="C1" s="100"/>
      <c r="D1" s="100"/>
      <c r="E1" s="100"/>
      <c r="F1" s="100"/>
      <c r="G1" s="100"/>
      <c r="H1" s="100"/>
      <c r="I1" s="100"/>
      <c r="J1" s="100"/>
    </row>
    <row r="2" spans="2:11" x14ac:dyDescent="0.3">
      <c r="B2" s="100"/>
      <c r="C2" s="100"/>
      <c r="D2" s="100"/>
      <c r="E2" s="100"/>
      <c r="F2" s="100"/>
      <c r="G2" s="100"/>
      <c r="H2" s="100"/>
      <c r="I2" s="100"/>
      <c r="J2" s="100"/>
    </row>
    <row r="3" spans="2:11" x14ac:dyDescent="0.3">
      <c r="B3" s="101"/>
      <c r="C3" s="329" t="s">
        <v>70</v>
      </c>
      <c r="D3" s="329"/>
      <c r="E3" s="100"/>
      <c r="F3" s="330" t="s">
        <v>69</v>
      </c>
      <c r="G3" s="331"/>
      <c r="H3" s="331"/>
      <c r="I3" s="331"/>
      <c r="J3" s="331"/>
    </row>
    <row r="4" spans="2:11" ht="15" thickBot="1" x14ac:dyDescent="0.35">
      <c r="B4" s="102" t="s">
        <v>80</v>
      </c>
      <c r="C4" s="103" t="s">
        <v>167</v>
      </c>
      <c r="D4" s="103" t="s">
        <v>168</v>
      </c>
      <c r="E4" s="99"/>
      <c r="F4" s="103" t="s">
        <v>169</v>
      </c>
      <c r="G4" s="103" t="s">
        <v>170</v>
      </c>
      <c r="H4" s="103" t="s">
        <v>171</v>
      </c>
      <c r="I4" s="103" t="s">
        <v>172</v>
      </c>
      <c r="J4" s="103" t="s">
        <v>173</v>
      </c>
    </row>
    <row r="5" spans="2:11" x14ac:dyDescent="0.3">
      <c r="B5" s="104" t="s">
        <v>91</v>
      </c>
      <c r="C5" s="104">
        <f>'P&amp;L Forecast'!D16</f>
        <v>2767.2799999999993</v>
      </c>
      <c r="D5" s="104">
        <f>'P&amp;L Forecast'!E16</f>
        <v>3009.7399999999984</v>
      </c>
      <c r="E5" s="104"/>
      <c r="F5" s="104">
        <f>'P&amp;L Forecast'!G16</f>
        <v>3088.3809650387534</v>
      </c>
      <c r="G5" s="104">
        <f>'P&amp;L Forecast'!H16</f>
        <v>3204.2444949099518</v>
      </c>
      <c r="H5" s="104">
        <f>'P&amp;L Forecast'!I16</f>
        <v>3324.7067800298782</v>
      </c>
      <c r="I5" s="104">
        <f>'P&amp;L Forecast'!J16</f>
        <v>3449.9314101163609</v>
      </c>
      <c r="J5" s="104">
        <f>'P&amp;L Forecast'!K16</f>
        <v>3580.0883666229815</v>
      </c>
      <c r="K5" s="3"/>
    </row>
    <row r="6" spans="2:11" x14ac:dyDescent="0.3">
      <c r="B6" s="106" t="s">
        <v>161</v>
      </c>
      <c r="C6" s="151">
        <f>C5*'P&amp;L Forecast'!D43</f>
        <v>-682.80951018812902</v>
      </c>
      <c r="D6" s="151">
        <f>D5*'P&amp;L Forecast'!E43</f>
        <v>-815.1818348835908</v>
      </c>
      <c r="E6" s="151"/>
      <c r="F6" s="151">
        <f>F5*'P&amp;L Forecast'!G43</f>
        <v>-802.9790509100759</v>
      </c>
      <c r="G6" s="151">
        <f>G5*'P&amp;L Forecast'!H43</f>
        <v>-833.10356867658743</v>
      </c>
      <c r="H6" s="151">
        <f>H5*'P&amp;L Forecast'!I43</f>
        <v>-864.42376280776841</v>
      </c>
      <c r="I6" s="151">
        <f>I5*'P&amp;L Forecast'!J43</f>
        <v>-896.98216663025391</v>
      </c>
      <c r="J6" s="151">
        <f>J5*'P&amp;L Forecast'!K43</f>
        <v>-930.82297532197526</v>
      </c>
    </row>
    <row r="7" spans="2:11" x14ac:dyDescent="0.3">
      <c r="B7" s="105" t="s">
        <v>155</v>
      </c>
      <c r="C7" s="105">
        <f>C5+C6</f>
        <v>2084.4704898118703</v>
      </c>
      <c r="D7" s="105">
        <f>D5+D6</f>
        <v>2194.5581651164075</v>
      </c>
      <c r="E7" s="108"/>
      <c r="F7" s="105">
        <f>F5+F6</f>
        <v>2285.4019141286776</v>
      </c>
      <c r="G7" s="105">
        <f>G5+G6</f>
        <v>2371.1409262333646</v>
      </c>
      <c r="H7" s="105">
        <f t="shared" ref="H7:J7" si="0">H5+H6</f>
        <v>2460.2830172221097</v>
      </c>
      <c r="I7" s="105">
        <f t="shared" si="0"/>
        <v>2552.9492434861068</v>
      </c>
      <c r="J7" s="105">
        <f t="shared" si="0"/>
        <v>2649.2653913010063</v>
      </c>
    </row>
    <row r="8" spans="2:11" x14ac:dyDescent="0.3">
      <c r="B8" s="106" t="s">
        <v>162</v>
      </c>
      <c r="C8" s="106">
        <f>-'P&amp;L Forecast'!D15</f>
        <v>195.1</v>
      </c>
      <c r="D8" s="106">
        <f>-'P&amp;L Forecast'!E15</f>
        <v>271.19</v>
      </c>
      <c r="E8" s="106"/>
      <c r="F8" s="106">
        <f>-'P&amp;L Forecast'!G15</f>
        <v>318.244574961247</v>
      </c>
      <c r="G8" s="106">
        <f>-'P&amp;L Forecast'!H15</f>
        <v>335.05318569004862</v>
      </c>
      <c r="H8" s="106">
        <f>-'P&amp;L Forecast'!I15</f>
        <v>352.74957084412301</v>
      </c>
      <c r="I8" s="106">
        <f>-'P&amp;L Forecast'!J15</f>
        <v>371.38061969010164</v>
      </c>
      <c r="J8" s="106">
        <f>-'P&amp;L Forecast'!K15</f>
        <v>390.99569802836453</v>
      </c>
    </row>
    <row r="9" spans="2:11" x14ac:dyDescent="0.3">
      <c r="B9" s="105" t="s">
        <v>156</v>
      </c>
      <c r="C9" s="105">
        <f>C7+C8</f>
        <v>2279.5704898118702</v>
      </c>
      <c r="D9" s="105">
        <f>D7+D8</f>
        <v>2465.7481651164076</v>
      </c>
      <c r="E9" s="108"/>
      <c r="F9" s="105">
        <f>F7+F8</f>
        <v>2603.6464890899247</v>
      </c>
      <c r="G9" s="105">
        <f>G7+G8</f>
        <v>2706.1941119234134</v>
      </c>
      <c r="H9" s="105">
        <f t="shared" ref="H9:J9" si="1">H7+H8</f>
        <v>2813.0325880662326</v>
      </c>
      <c r="I9" s="105">
        <f t="shared" si="1"/>
        <v>2924.3298631762082</v>
      </c>
      <c r="J9" s="105">
        <f t="shared" si="1"/>
        <v>3040.2610893293709</v>
      </c>
    </row>
    <row r="10" spans="2:11" x14ac:dyDescent="0.3">
      <c r="B10" s="106" t="s">
        <v>109</v>
      </c>
      <c r="C10" s="106">
        <f>-('BS Forecast'!D13-'BS Forecast'!C13)</f>
        <v>177.02000000000021</v>
      </c>
      <c r="D10" s="106">
        <f>-('BS Forecast'!E13-'BS Forecast'!D13)</f>
        <v>-0.82000000000016371</v>
      </c>
      <c r="E10" s="151"/>
      <c r="F10" s="106">
        <f>-('BS Forecast'!G13-'BS Forecast'!E13)</f>
        <v>-51.456268195750908</v>
      </c>
      <c r="G10" s="106">
        <f>-('BS Forecast'!H13-'BS Forecast'!G13)</f>
        <v>-43.887341998757165</v>
      </c>
      <c r="H10" s="106">
        <f>-('BS Forecast'!I13-'BS Forecast'!H13)</f>
        <v>-45.702261115161946</v>
      </c>
      <c r="I10" s="106">
        <f>-('BS Forecast'!J13-'BS Forecast'!I13)</f>
        <v>-47.586805724398801</v>
      </c>
      <c r="J10" s="106">
        <f>-('BS Forecast'!K13-'BS Forecast'!J13)</f>
        <v>-49.543909409774187</v>
      </c>
    </row>
    <row r="11" spans="2:11" x14ac:dyDescent="0.3">
      <c r="B11" s="106" t="s">
        <v>163</v>
      </c>
      <c r="C11" s="151">
        <f>-('BS Forecast'!D14-'BS Forecast'!C14)</f>
        <v>-24.570000000000022</v>
      </c>
      <c r="D11" s="151">
        <f>-('BS Forecast'!E14-'BS Forecast'!D14)</f>
        <v>-68.63</v>
      </c>
      <c r="E11" s="151"/>
      <c r="F11" s="151">
        <f>-('BS Forecast'!G14-'BS Forecast'!E14)</f>
        <v>-13.481743550483429</v>
      </c>
      <c r="G11" s="151">
        <f>-('BS Forecast'!H14-'BS Forecast'!G14)</f>
        <v>-14.041026114978536</v>
      </c>
      <c r="H11" s="151">
        <f>-('BS Forecast'!I14-'BS Forecast'!H14)</f>
        <v>-14.621679340929802</v>
      </c>
      <c r="I11" s="151">
        <f>-('BS Forecast'!J14-'BS Forecast'!I14)</f>
        <v>-15.22460808685139</v>
      </c>
      <c r="J11" s="151">
        <f>-('BS Forecast'!K14-'BS Forecast'!J14)</f>
        <v>-15.850750903995618</v>
      </c>
    </row>
    <row r="12" spans="2:11" x14ac:dyDescent="0.3">
      <c r="B12" s="106" t="s">
        <v>164</v>
      </c>
      <c r="C12" s="106">
        <f>'BS Forecast'!D21-'BS Forecast'!C21</f>
        <v>114.54999999999995</v>
      </c>
      <c r="D12" s="106">
        <f>'BS Forecast'!E21-'BS Forecast'!D21</f>
        <v>204.38000000000011</v>
      </c>
      <c r="E12" s="106"/>
      <c r="F12" s="106">
        <f>'BS Forecast'!G21-'BS Forecast'!E21</f>
        <v>-64.834638113924711</v>
      </c>
      <c r="G12" s="106">
        <f>'BS Forecast'!H21-'BS Forecast'!G21</f>
        <v>56.404723779497999</v>
      </c>
      <c r="H12" s="106">
        <f>'BS Forecast'!I21-'BS Forecast'!H21</f>
        <v>58.737287265475516</v>
      </c>
      <c r="I12" s="106">
        <f>'BS Forecast'!J21-'BS Forecast'!I21</f>
        <v>61.159334564151777</v>
      </c>
      <c r="J12" s="106">
        <f>'BS Forecast'!K21-'BS Forecast'!J21</f>
        <v>63.674635964372101</v>
      </c>
    </row>
    <row r="13" spans="2:11" ht="1.8" customHeight="1" x14ac:dyDescent="0.3">
      <c r="B13" s="106"/>
      <c r="C13" s="106"/>
      <c r="D13" s="106"/>
      <c r="E13" s="106"/>
      <c r="F13" s="106"/>
      <c r="G13" s="106"/>
      <c r="H13" s="106"/>
      <c r="I13" s="106"/>
      <c r="J13" s="106"/>
    </row>
    <row r="14" spans="2:11" x14ac:dyDescent="0.3">
      <c r="B14" s="107" t="s">
        <v>165</v>
      </c>
      <c r="C14" s="107">
        <f>SUM(C10:C12)</f>
        <v>267.00000000000011</v>
      </c>
      <c r="D14" s="107">
        <f>SUM(D10:D12)</f>
        <v>134.92999999999995</v>
      </c>
      <c r="E14" s="107"/>
      <c r="F14" s="107">
        <f>SUM(F10:F12)</f>
        <v>-129.77264986015905</v>
      </c>
      <c r="G14" s="107">
        <f>SUM(G10:G12)</f>
        <v>-1.5236443342377015</v>
      </c>
      <c r="H14" s="107">
        <f t="shared" ref="H14:J14" si="2">SUM(H10:H12)</f>
        <v>-1.5866531906162322</v>
      </c>
      <c r="I14" s="107">
        <f t="shared" si="2"/>
        <v>-1.6520792470984134</v>
      </c>
      <c r="J14" s="107">
        <f t="shared" si="2"/>
        <v>-1.7200243493977041</v>
      </c>
    </row>
    <row r="15" spans="2:11" x14ac:dyDescent="0.3">
      <c r="B15" s="104" t="s">
        <v>186</v>
      </c>
      <c r="C15" s="152">
        <f>-('BS Forecast'!D12-'BS Forecast'!C12)-('BS Forecast'!D5-'BS Forecast'!C5)-('BS Forecast'!D6-'BS Forecast'!C6)-('BS Forecast'!D8-'BS Forecast'!C8)-('BS Forecast'!D15-'BS Forecast'!C15)-('BS Forecast'!D9-'BS Forecast'!C9)-('BS Forecast'!D10-'BS Forecast'!C10)-('BS Forecast'!D11-'BS Forecast'!C11)</f>
        <v>-884.1600000000002</v>
      </c>
      <c r="D15" s="152">
        <f>-('BS Forecast'!E12-'BS Forecast'!D12)-('BS Forecast'!E5-'BS Forecast'!D5)-('BS Forecast'!E6-'BS Forecast'!D6)-('BS Forecast'!E8-'BS Forecast'!D8)-('BS Forecast'!E15-'BS Forecast'!D15)-('BS Forecast'!E9-'BS Forecast'!D9)-('BS Forecast'!E10-'BS Forecast'!D10)-('BS Forecast'!E11-'BS Forecast'!D11)</f>
        <v>713.66000000000042</v>
      </c>
      <c r="E15" s="104"/>
      <c r="F15" s="152">
        <f>-('BS Forecast'!G12-'BS Forecast'!E12)-('BS Forecast'!G5-'BS Forecast'!E5)-('BS Forecast'!G6-'BS Forecast'!E6)-('BS Forecast'!G8-'BS Forecast'!E8)-('BS Forecast'!G15-'BS Forecast'!E15)-('BS Forecast'!G9-'BS Forecast'!E9)-('BS Forecast'!G10-'BS Forecast'!E10)-('BS Forecast'!G11-'BS Forecast'!E11)</f>
        <v>-39.504981859273315</v>
      </c>
      <c r="G15" s="152">
        <f>-('BS Forecast'!H12-'BS Forecast'!G12)-('BS Forecast'!H5-'BS Forecast'!G5)-('BS Forecast'!H6-'BS Forecast'!G6)-('BS Forecast'!H8-'BS Forecast'!G8)-('BS Forecast'!H15-'BS Forecast'!G15)-('BS Forecast'!H9-'BS Forecast'!G9)-('BS Forecast'!H10-'BS Forecast'!G10)-('BS Forecast'!H11-'BS Forecast'!G11)</f>
        <v>-12.778873993479834</v>
      </c>
      <c r="H15" s="152">
        <f>-('BS Forecast'!I12-'BS Forecast'!H12)-('BS Forecast'!I5-'BS Forecast'!H5)-('BS Forecast'!I6-'BS Forecast'!H6)-('BS Forecast'!I8-'BS Forecast'!H8)-('BS Forecast'!I15-'BS Forecast'!H15)-('BS Forecast'!I9-'BS Forecast'!H9)-('BS Forecast'!I10-'BS Forecast'!H10)-('BS Forecast'!I11-'BS Forecast'!H11)</f>
        <v>0.79386862408040315</v>
      </c>
      <c r="I15" s="152">
        <f>-('BS Forecast'!J12-'BS Forecast'!I12)-('BS Forecast'!J5-'BS Forecast'!I5)-('BS Forecast'!J6-'BS Forecast'!I6)-('BS Forecast'!J8-'BS Forecast'!I8)-('BS Forecast'!J15-'BS Forecast'!I15)-('BS Forecast'!J9-'BS Forecast'!I9)-('BS Forecast'!J10-'BS Forecast'!I10)-('BS Forecast'!J11-'BS Forecast'!I11)</f>
        <v>-26.751979403046022</v>
      </c>
      <c r="J15" s="152">
        <f>-('BS Forecast'!K12-'BS Forecast'!J12)-('BS Forecast'!K5-'BS Forecast'!J5)-('BS Forecast'!K6-'BS Forecast'!J6)-('BS Forecast'!K8-'BS Forecast'!J8)-('BS Forecast'!K15-'BS Forecast'!J15)-('BS Forecast'!K9-'BS Forecast'!J9)-('BS Forecast'!K10-'BS Forecast'!J10)-('BS Forecast'!K11-'BS Forecast'!J11)</f>
        <v>-9.0892167895306955</v>
      </c>
    </row>
    <row r="16" spans="2:11" x14ac:dyDescent="0.3">
      <c r="B16" s="104" t="s">
        <v>187</v>
      </c>
      <c r="C16" s="104">
        <f>('BS Forecast'!D22-'BS Forecast'!C22)</f>
        <v>45.529999999999973</v>
      </c>
      <c r="D16" s="104">
        <f>'BS Forecast'!E22-'BS Forecast'!D22</f>
        <v>13.439999999999998</v>
      </c>
      <c r="E16" s="104"/>
      <c r="F16" s="104">
        <f>'BS Forecast'!G22-'BS Forecast'!E22</f>
        <v>-1.2211773102889651</v>
      </c>
      <c r="G16" s="104">
        <f>'BS Forecast'!H22-'BS Forecast'!G22</f>
        <v>9.1684626845649007</v>
      </c>
      <c r="H16" s="104">
        <f>'BS Forecast'!I22-'BS Forecast'!H22</f>
        <v>9.5476157030987565</v>
      </c>
      <c r="I16" s="104">
        <f>'BS Forecast'!J22-'BS Forecast'!I22</f>
        <v>9.9413141168163008</v>
      </c>
      <c r="J16" s="104">
        <f>'BS Forecast'!K22-'BS Forecast'!J22</f>
        <v>10.350170777802816</v>
      </c>
    </row>
    <row r="17" spans="2:10" x14ac:dyDescent="0.3">
      <c r="B17" s="104" t="s">
        <v>134</v>
      </c>
      <c r="C17" s="152">
        <f>-'PP&amp;E schedule'!D7</f>
        <v>-1087.8999999999999</v>
      </c>
      <c r="D17" s="152">
        <f>-'PP&amp;E schedule'!E7</f>
        <v>-416.02</v>
      </c>
      <c r="E17" s="152"/>
      <c r="F17" s="152">
        <f>-'PP&amp;E schedule'!F7</f>
        <v>-443.15805297697062</v>
      </c>
      <c r="G17" s="152">
        <f>-'PP&amp;E schedule'!G7</f>
        <v>-466.5641745258788</v>
      </c>
      <c r="H17" s="152">
        <f>-'PP&amp;E schedule'!H7</f>
        <v>-491.20652888671947</v>
      </c>
      <c r="I17" s="152">
        <f>-'PP&amp;E schedule'!I7</f>
        <v>-517.15040972901863</v>
      </c>
      <c r="J17" s="152">
        <f>-'PP&amp;E schedule'!J7</f>
        <v>-544.46455931486412</v>
      </c>
    </row>
    <row r="18" spans="2:10" x14ac:dyDescent="0.3">
      <c r="B18" s="104" t="s">
        <v>189</v>
      </c>
      <c r="C18" s="104">
        <f>'P&amp;L Forecast'!D18</f>
        <v>227.74</v>
      </c>
      <c r="D18" s="104">
        <f>'P&amp;L Forecast'!E18</f>
        <v>-2.9</v>
      </c>
      <c r="E18" s="104"/>
      <c r="F18" s="104">
        <f>'P&amp;L Forecast'!G18</f>
        <v>0</v>
      </c>
      <c r="G18" s="104">
        <f>'P&amp;L Forecast'!H18</f>
        <v>0</v>
      </c>
      <c r="H18" s="104">
        <f>'P&amp;L Forecast'!I18</f>
        <v>0</v>
      </c>
      <c r="I18" s="104">
        <f>'P&amp;L Forecast'!J18</f>
        <v>0</v>
      </c>
      <c r="J18" s="104">
        <f>'P&amp;L Forecast'!K18</f>
        <v>0</v>
      </c>
    </row>
    <row r="19" spans="2:10" x14ac:dyDescent="0.3">
      <c r="B19" s="105" t="s">
        <v>166</v>
      </c>
      <c r="C19" s="105">
        <f>SUM(C14:C17,C9,C18,)</f>
        <v>847.78048981187021</v>
      </c>
      <c r="D19" s="105">
        <f>SUM(D14:D17,D9,D18)</f>
        <v>2908.8581651164081</v>
      </c>
      <c r="E19" s="108"/>
      <c r="F19" s="105">
        <f>SUM(F14:F17,F9,F18)</f>
        <v>1989.9896270832328</v>
      </c>
      <c r="G19" s="105">
        <f t="shared" ref="G19:J19" si="3">SUM(G14:G17,G9,G18)</f>
        <v>2234.495881754382</v>
      </c>
      <c r="H19" s="105">
        <f t="shared" si="3"/>
        <v>2330.580890316076</v>
      </c>
      <c r="I19" s="105">
        <f t="shared" si="3"/>
        <v>2388.7167089138611</v>
      </c>
      <c r="J19" s="105">
        <f t="shared" si="3"/>
        <v>2495.3374596533813</v>
      </c>
    </row>
    <row r="20" spans="2:10" x14ac:dyDescent="0.3">
      <c r="B20" s="106" t="s">
        <v>185</v>
      </c>
      <c r="C20" s="153">
        <f>'P&amp;L Forecast'!D17</f>
        <v>-154.94999999999999</v>
      </c>
      <c r="D20" s="153">
        <f>'P&amp;L Forecast'!E17</f>
        <v>-151.4</v>
      </c>
      <c r="E20" s="153"/>
      <c r="F20" s="151">
        <f>'P&amp;L Forecast'!G17</f>
        <v>-87.321600000000004</v>
      </c>
      <c r="G20" s="151">
        <f>'P&amp;L Forecast'!H17</f>
        <v>-81.574084436999314</v>
      </c>
      <c r="H20" s="151">
        <f>'P&amp;L Forecast'!I17</f>
        <v>-75.309292473328568</v>
      </c>
      <c r="I20" s="151">
        <f>'P&amp;L Forecast'!J17</f>
        <v>-68.480669232927454</v>
      </c>
      <c r="J20" s="151">
        <f>'P&amp;L Forecast'!K17</f>
        <v>-61.037469900890237</v>
      </c>
    </row>
    <row r="21" spans="2:10" x14ac:dyDescent="0.3">
      <c r="B21" s="106" t="s">
        <v>174</v>
      </c>
      <c r="C21" s="148">
        <f>'P&amp;L Forecast'!D20-'Cash Flow Forecast'!C6</f>
        <v>-17.960489811870957</v>
      </c>
      <c r="D21" s="148">
        <f>'P&amp;L Forecast'!E20-'Cash Flow Forecast'!D6</f>
        <v>41.791834883590695</v>
      </c>
      <c r="F21" s="148">
        <f>'P&amp;L Forecast'!G20-'Cash Flow Forecast'!F6</f>
        <v>22.703616000000011</v>
      </c>
      <c r="G21" s="148">
        <f>'P&amp;L Forecast'!H20-'Cash Flow Forecast'!G6</f>
        <v>21.209261953619716</v>
      </c>
      <c r="H21" s="148">
        <f>'P&amp;L Forecast'!I20-'Cash Flow Forecast'!H6</f>
        <v>19.580416043065497</v>
      </c>
      <c r="I21" s="148">
        <f>'P&amp;L Forecast'!J20-'Cash Flow Forecast'!I6</f>
        <v>17.804974000561174</v>
      </c>
      <c r="J21" s="148">
        <f>'P&amp;L Forecast'!K20-'Cash Flow Forecast'!J6</f>
        <v>15.869742174231533</v>
      </c>
    </row>
    <row r="22" spans="2:10" x14ac:dyDescent="0.3">
      <c r="B22" s="106" t="s">
        <v>175</v>
      </c>
      <c r="C22" s="1">
        <f>('BS Forecast'!D20-'BS Forecast'!C20)+('BS Forecast'!D19-'BS Forecast'!C19)</f>
        <v>627.24000000000012</v>
      </c>
      <c r="D22" s="1">
        <f>('BS Forecast'!E20-'BS Forecast'!D20)+('BS Forecast'!E19-'BS Forecast'!D19)</f>
        <v>-874.13999999999987</v>
      </c>
      <c r="F22" s="36">
        <f>('BS Forecast'!G20-'BS Forecast'!E20)+('BS Forecast'!G19-'BS Forecast'!E19)</f>
        <v>-221.07228403334091</v>
      </c>
      <c r="G22" s="36">
        <f>('BS Forecast'!H20-'BS Forecast'!G20)+('BS Forecast'!H19-'BS Forecast'!G19)</f>
        <v>-211.0986995963417</v>
      </c>
      <c r="H22" s="36">
        <f>('BS Forecast'!I20-'BS Forecast'!H20)+('BS Forecast'!I19-'BS Forecast'!H19)</f>
        <v>-203.21450156001231</v>
      </c>
      <c r="I22" s="36">
        <f>('BS Forecast'!J20-'BS Forecast'!I20)+('BS Forecast'!J19-'BS Forecast'!I19)</f>
        <v>-197.30903380041354</v>
      </c>
      <c r="J22" s="36">
        <f>('BS Forecast'!K20-'BS Forecast'!J20)+('BS Forecast'!K19-'BS Forecast'!J19)</f>
        <v>-193.29155123245073</v>
      </c>
    </row>
    <row r="23" spans="2:10" x14ac:dyDescent="0.3">
      <c r="B23" s="106" t="s">
        <v>188</v>
      </c>
      <c r="C23" s="1">
        <f>('BS Forecast'!D23-'BS Forecast'!C23)</f>
        <v>57.699999999999989</v>
      </c>
      <c r="D23" s="1">
        <f>('BS Forecast'!E23-'BS Forecast'!D23)</f>
        <v>42.330000000000041</v>
      </c>
      <c r="F23" s="36">
        <f>('BS Forecast'!G23-'BS Forecast'!E23)</f>
        <v>58.17217609847637</v>
      </c>
      <c r="G23" s="36">
        <f>('BS Forecast'!H23-'BS Forecast'!G23)</f>
        <v>64.311623606653484</v>
      </c>
      <c r="H23" s="36">
        <f>('BS Forecast'!I23-'BS Forecast'!H23)</f>
        <v>71.099023765627976</v>
      </c>
      <c r="I23" s="36">
        <f>('BS Forecast'!J23-'BS Forecast'!I23)</f>
        <v>78.602761008545826</v>
      </c>
      <c r="J23" s="36">
        <f>('BS Forecast'!K23-'BS Forecast'!J23)</f>
        <v>86.898437009952886</v>
      </c>
    </row>
    <row r="24" spans="2:10" ht="15" thickBot="1" x14ac:dyDescent="0.35">
      <c r="B24" s="109" t="s">
        <v>184</v>
      </c>
      <c r="C24" s="148">
        <f>'BS Forecast'!D26-'BS Forecast'!C26-'P&amp;L Forecast'!D21</f>
        <v>-1360.6899999999996</v>
      </c>
      <c r="D24" s="148">
        <f>'BS Forecast'!E26-'BS Forecast'!D26-'P&amp;L Forecast'!E21</f>
        <v>-1735.6799999999985</v>
      </c>
      <c r="F24" s="148">
        <f>'BS Forecast'!G26-'BS Forecast'!E26-'P&amp;L Forecast'!G21</f>
        <v>-1554.5487510900739</v>
      </c>
      <c r="G24" s="148">
        <f>'BS Forecast'!H26-'BS Forecast'!G26-'P&amp;L Forecast'!H21</f>
        <v>-1617.5432726249892</v>
      </c>
      <c r="H24" s="148">
        <f>'BS Forecast'!I26-'BS Forecast'!H26-'P&amp;L Forecast'!I21</f>
        <v>-1683.187898554293</v>
      </c>
      <c r="I24" s="148">
        <f>'BS Forecast'!J26-'BS Forecast'!I26-'P&amp;L Forecast'!J21</f>
        <v>-1751.5914837776186</v>
      </c>
      <c r="J24" s="148">
        <f>'BS Forecast'!K26-'BS Forecast'!J26-'P&amp;L Forecast'!K21</f>
        <v>-1822.8683645020437</v>
      </c>
    </row>
    <row r="25" spans="2:10" ht="15" thickBot="1" x14ac:dyDescent="0.35">
      <c r="B25" s="105" t="s">
        <v>176</v>
      </c>
      <c r="C25" s="110">
        <f>SUM(C19:C24)</f>
        <v>-0.88000000000033651</v>
      </c>
      <c r="D25" s="110">
        <f>SUM(D19:D24)</f>
        <v>231.76000000000022</v>
      </c>
      <c r="E25" s="108"/>
      <c r="F25" s="110">
        <f>SUM(F19:F24)</f>
        <v>207.92278405829438</v>
      </c>
      <c r="G25" s="110">
        <f>SUM(G19:G24)</f>
        <v>409.80071065632501</v>
      </c>
      <c r="H25" s="110">
        <f>SUM(H19:H24)</f>
        <v>459.54863753713562</v>
      </c>
      <c r="I25" s="110">
        <f>SUM(I19:I24)</f>
        <v>467.74325711200845</v>
      </c>
      <c r="J25" s="110">
        <f>SUM(J19:J24)</f>
        <v>520.90825320218073</v>
      </c>
    </row>
    <row r="26" spans="2:10" x14ac:dyDescent="0.3">
      <c r="B26" s="8"/>
      <c r="G26" s="8"/>
      <c r="I26" s="8"/>
      <c r="J26" s="8"/>
    </row>
    <row r="27" spans="2:10" outlineLevel="1" x14ac:dyDescent="0.3">
      <c r="B27" s="119" t="s">
        <v>157</v>
      </c>
      <c r="C27" s="119">
        <f>'BS Forecast'!C16</f>
        <v>9.9700000000000006</v>
      </c>
      <c r="D27" s="119">
        <f>'BS Forecast'!D16</f>
        <v>9.09</v>
      </c>
      <c r="E27" s="38"/>
      <c r="F27" s="119">
        <f>'BS Forecast'!E16</f>
        <v>240.85</v>
      </c>
      <c r="G27" s="119">
        <f>'BS Forecast'!G16</f>
        <v>448.77278405829441</v>
      </c>
      <c r="H27" s="119">
        <f>'BS Forecast'!H16</f>
        <v>858.57349471461941</v>
      </c>
      <c r="I27" s="119">
        <f>'BS Forecast'!I16</f>
        <v>1318.1221322517549</v>
      </c>
      <c r="J27" s="119">
        <f>'BS Forecast'!J16</f>
        <v>1785.8653893637634</v>
      </c>
    </row>
    <row r="28" spans="2:10" outlineLevel="1" x14ac:dyDescent="0.3">
      <c r="B28" s="119" t="s">
        <v>158</v>
      </c>
      <c r="C28" s="119">
        <f>C27+C25</f>
        <v>9.0899999999996641</v>
      </c>
      <c r="D28" s="120">
        <f t="shared" ref="D28" si="4">D27+D25</f>
        <v>240.85000000000022</v>
      </c>
      <c r="E28" s="119"/>
      <c r="F28" s="119">
        <f>F25+F27</f>
        <v>448.77278405829441</v>
      </c>
      <c r="G28" s="119">
        <f t="shared" ref="G28:J28" si="5">G25+G27</f>
        <v>858.57349471461941</v>
      </c>
      <c r="H28" s="119">
        <f t="shared" si="5"/>
        <v>1318.1221322517549</v>
      </c>
      <c r="I28" s="119">
        <f t="shared" si="5"/>
        <v>1785.8653893637634</v>
      </c>
      <c r="J28" s="119">
        <f t="shared" si="5"/>
        <v>2306.7736425659441</v>
      </c>
    </row>
    <row r="29" spans="2:10" outlineLevel="1" x14ac:dyDescent="0.3">
      <c r="B29" s="119"/>
      <c r="C29" s="119"/>
      <c r="D29" s="119"/>
      <c r="E29" s="119"/>
      <c r="F29" s="119"/>
      <c r="G29" s="119"/>
      <c r="H29" s="119"/>
      <c r="I29" s="119"/>
      <c r="J29" s="119"/>
    </row>
    <row r="30" spans="2:10" outlineLevel="1" x14ac:dyDescent="0.3">
      <c r="B30" s="119" t="s">
        <v>159</v>
      </c>
      <c r="C30" s="119">
        <f>'BS Forecast'!D16</f>
        <v>9.09</v>
      </c>
      <c r="D30" s="120">
        <f>'BS Forecast'!E16</f>
        <v>240.85</v>
      </c>
      <c r="E30" s="119"/>
      <c r="F30" s="119">
        <f>'BS Forecast'!G16</f>
        <v>448.77278405829441</v>
      </c>
      <c r="G30" s="119">
        <f>'BS Forecast'!H16</f>
        <v>858.57349471461941</v>
      </c>
      <c r="H30" s="119">
        <f>'BS Forecast'!I16</f>
        <v>1318.1221322517549</v>
      </c>
      <c r="I30" s="119">
        <f>'BS Forecast'!J16</f>
        <v>1785.8653893637634</v>
      </c>
      <c r="J30" s="119">
        <f>'BS Forecast'!K16</f>
        <v>2306.7736425659441</v>
      </c>
    </row>
    <row r="31" spans="2:10" outlineLevel="1" x14ac:dyDescent="0.3">
      <c r="B31" s="119"/>
      <c r="C31" s="121">
        <f>C28-C30</f>
        <v>-3.3573144264664734E-13</v>
      </c>
      <c r="D31" s="121">
        <f>D30-D28</f>
        <v>-2.2737367544323206E-13</v>
      </c>
      <c r="E31" s="121"/>
      <c r="F31" s="121">
        <f>F30-F28</f>
        <v>0</v>
      </c>
      <c r="G31" s="121">
        <f t="shared" ref="G31:J31" si="6">G30-G28</f>
        <v>0</v>
      </c>
      <c r="H31" s="121">
        <f t="shared" si="6"/>
        <v>0</v>
      </c>
      <c r="I31" s="121">
        <f t="shared" si="6"/>
        <v>0</v>
      </c>
      <c r="J31" s="121">
        <f t="shared" si="6"/>
        <v>0</v>
      </c>
    </row>
  </sheetData>
  <mergeCells count="2">
    <mergeCell ref="C3:D3"/>
    <mergeCell ref="F3:J3"/>
  </mergeCells>
  <phoneticPr fontId="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4C170-E32E-43A4-B78A-A3D41DCD3FDD}">
  <sheetPr>
    <tabColor theme="0"/>
  </sheetPr>
  <dimension ref="B1:K21"/>
  <sheetViews>
    <sheetView workbookViewId="0">
      <selection activeCell="O9" sqref="O9"/>
    </sheetView>
  </sheetViews>
  <sheetFormatPr defaultRowHeight="14.4" x14ac:dyDescent="0.3"/>
  <cols>
    <col min="1" max="1" width="1.88671875" style="1" customWidth="1"/>
    <col min="2" max="2" width="18.109375" style="1" customWidth="1"/>
    <col min="3" max="5" width="8.88671875" style="1"/>
    <col min="6" max="6" width="1.77734375" style="1" customWidth="1"/>
    <col min="7" max="11" width="9" style="1" customWidth="1"/>
    <col min="12" max="16384" width="8.88671875" style="1"/>
  </cols>
  <sheetData>
    <row r="1" spans="2:11" ht="15.6" x14ac:dyDescent="0.3">
      <c r="B1" s="5" t="s">
        <v>303</v>
      </c>
      <c r="C1" s="133"/>
    </row>
    <row r="2" spans="2:11" ht="16.2" thickBot="1" x14ac:dyDescent="0.35">
      <c r="B2" s="5"/>
      <c r="C2" s="133"/>
    </row>
    <row r="3" spans="2:11" x14ac:dyDescent="0.3">
      <c r="B3" s="263" t="s">
        <v>298</v>
      </c>
      <c r="C3" s="264">
        <v>6.7500000000000004E-2</v>
      </c>
    </row>
    <row r="4" spans="2:11" x14ac:dyDescent="0.3">
      <c r="B4" s="265" t="s">
        <v>299</v>
      </c>
      <c r="C4" s="266">
        <v>0.06</v>
      </c>
    </row>
    <row r="5" spans="2:11" x14ac:dyDescent="0.3">
      <c r="B5" s="265" t="s">
        <v>300</v>
      </c>
      <c r="C5" s="267">
        <v>0.62</v>
      </c>
    </row>
    <row r="6" spans="2:11" x14ac:dyDescent="0.3">
      <c r="B6" s="265" t="s">
        <v>302</v>
      </c>
      <c r="C6" s="266">
        <v>0.3</v>
      </c>
    </row>
    <row r="7" spans="2:11" x14ac:dyDescent="0.3">
      <c r="B7" s="268" t="s">
        <v>301</v>
      </c>
      <c r="C7" s="269">
        <v>5.5E-2</v>
      </c>
    </row>
    <row r="8" spans="2:11" ht="15" thickBot="1" x14ac:dyDescent="0.35">
      <c r="B8" s="270" t="s">
        <v>304</v>
      </c>
      <c r="C8" s="271">
        <f>C3+C4*C5</f>
        <v>0.1047</v>
      </c>
    </row>
    <row r="11" spans="2:11" x14ac:dyDescent="0.3">
      <c r="B11" s="124" t="s">
        <v>196</v>
      </c>
      <c r="C11" s="244">
        <v>2022</v>
      </c>
      <c r="D11" s="244">
        <v>2023</v>
      </c>
      <c r="E11" s="244">
        <v>2024</v>
      </c>
      <c r="G11" s="244">
        <v>2025</v>
      </c>
      <c r="H11" s="244">
        <v>2026</v>
      </c>
      <c r="I11" s="244">
        <v>2027</v>
      </c>
      <c r="J11" s="244">
        <v>2028</v>
      </c>
      <c r="K11" s="244">
        <v>2029</v>
      </c>
    </row>
    <row r="12" spans="2:11" x14ac:dyDescent="0.3">
      <c r="B12" s="1" t="s">
        <v>305</v>
      </c>
      <c r="C12" s="1">
        <f>'BS Forecast'!C19+'BS Forecast'!C20</f>
        <v>2789.25</v>
      </c>
      <c r="D12" s="1">
        <f>'BS Forecast'!D19+'BS Forecast'!D20</f>
        <v>3416.49</v>
      </c>
      <c r="E12" s="1">
        <f>'BS Forecast'!E19+'BS Forecast'!E20</f>
        <v>2542.3500000000004</v>
      </c>
      <c r="G12" s="36">
        <f>'BS Forecast'!G19+'BS Forecast'!G20</f>
        <v>2321.2777159666593</v>
      </c>
      <c r="H12" s="36">
        <f>'BS Forecast'!H19+'BS Forecast'!H20</f>
        <v>2110.1790163703176</v>
      </c>
      <c r="I12" s="36">
        <f>'BS Forecast'!I19+'BS Forecast'!I20</f>
        <v>1906.9645148103052</v>
      </c>
      <c r="J12" s="36">
        <f>'BS Forecast'!J19+'BS Forecast'!J20</f>
        <v>1709.6554810098917</v>
      </c>
      <c r="K12" s="36">
        <f>'BS Forecast'!K19+'BS Forecast'!K20</f>
        <v>1516.3639297774409</v>
      </c>
    </row>
    <row r="13" spans="2:11" x14ac:dyDescent="0.3">
      <c r="B13" s="1" t="s">
        <v>306</v>
      </c>
      <c r="C13" s="36">
        <f>'BS Forecast'!C26</f>
        <v>2402.54</v>
      </c>
      <c r="D13" s="36">
        <f>'BS Forecast'!D26</f>
        <v>3181.15</v>
      </c>
      <c r="E13" s="36">
        <f>'BS Forecast'!E26</f>
        <v>3527.52</v>
      </c>
      <c r="F13" s="36"/>
      <c r="G13" s="36">
        <f>'BS Forecast'!G26</f>
        <v>4193.7551790386033</v>
      </c>
      <c r="H13" s="36">
        <f>'BS Forecast'!H26</f>
        <v>4886.988010163599</v>
      </c>
      <c r="I13" s="36">
        <f>'BS Forecast'!I26</f>
        <v>5608.3542524011527</v>
      </c>
      <c r="J13" s="36">
        <f>'BS Forecast'!J26</f>
        <v>6359.0363168772747</v>
      </c>
      <c r="K13" s="36">
        <f>'BS Forecast'!K26</f>
        <v>7140.2656159495782</v>
      </c>
    </row>
    <row r="15" spans="2:11" x14ac:dyDescent="0.3">
      <c r="B15" s="1" t="s">
        <v>307</v>
      </c>
      <c r="C15" s="36">
        <f>C12/(C12+C13)</f>
        <v>0.53724245395133474</v>
      </c>
      <c r="D15" s="36">
        <f t="shared" ref="D15:K15" si="0">D12/(D12+D13)</f>
        <v>0.51783516530153206</v>
      </c>
      <c r="E15" s="36">
        <f t="shared" si="0"/>
        <v>0.4188475206223527</v>
      </c>
      <c r="F15" s="36"/>
      <c r="G15" s="36">
        <f t="shared" si="0"/>
        <v>0.35629562480739929</v>
      </c>
      <c r="H15" s="36">
        <f t="shared" si="0"/>
        <v>0.3015761962474699</v>
      </c>
      <c r="I15" s="36">
        <f t="shared" si="0"/>
        <v>0.25374366329345732</v>
      </c>
      <c r="J15" s="36">
        <f t="shared" si="0"/>
        <v>0.2118875678778033</v>
      </c>
      <c r="K15" s="36">
        <f t="shared" si="0"/>
        <v>0.17516793594637883</v>
      </c>
    </row>
    <row r="16" spans="2:11" x14ac:dyDescent="0.3">
      <c r="B16" s="1" t="s">
        <v>308</v>
      </c>
      <c r="C16" s="36">
        <f>C13/(C12+C13)</f>
        <v>0.46275754604866531</v>
      </c>
      <c r="D16" s="36">
        <f t="shared" ref="D16:K16" si="1">D13/(D12+D13)</f>
        <v>0.48216483469846799</v>
      </c>
      <c r="E16" s="36">
        <f t="shared" si="1"/>
        <v>0.58115247937764725</v>
      </c>
      <c r="F16" s="36"/>
      <c r="G16" s="36">
        <f t="shared" si="1"/>
        <v>0.64370437519260071</v>
      </c>
      <c r="H16" s="36">
        <f t="shared" si="1"/>
        <v>0.69842380375253021</v>
      </c>
      <c r="I16" s="36">
        <f t="shared" si="1"/>
        <v>0.74625633670654257</v>
      </c>
      <c r="J16" s="36">
        <f t="shared" si="1"/>
        <v>0.78811243212219673</v>
      </c>
      <c r="K16" s="36">
        <f t="shared" si="1"/>
        <v>0.82483206405362119</v>
      </c>
    </row>
    <row r="18" spans="2:11" x14ac:dyDescent="0.3">
      <c r="B18" s="1" t="s">
        <v>304</v>
      </c>
      <c r="C18" s="111">
        <f>$C$8</f>
        <v>0.1047</v>
      </c>
      <c r="D18" s="111">
        <f t="shared" ref="D18:K18" si="2">$C$8</f>
        <v>0.1047</v>
      </c>
      <c r="E18" s="111">
        <f t="shared" si="2"/>
        <v>0.1047</v>
      </c>
      <c r="G18" s="111">
        <f t="shared" si="2"/>
        <v>0.1047</v>
      </c>
      <c r="H18" s="111">
        <f t="shared" si="2"/>
        <v>0.1047</v>
      </c>
      <c r="I18" s="111">
        <f t="shared" si="2"/>
        <v>0.1047</v>
      </c>
      <c r="J18" s="111">
        <f t="shared" si="2"/>
        <v>0.1047</v>
      </c>
      <c r="K18" s="111">
        <f t="shared" si="2"/>
        <v>0.1047</v>
      </c>
    </row>
    <row r="19" spans="2:11" x14ac:dyDescent="0.3">
      <c r="B19" s="1" t="s">
        <v>310</v>
      </c>
      <c r="C19" s="111">
        <f>$C$7</f>
        <v>5.5E-2</v>
      </c>
      <c r="D19" s="111">
        <f t="shared" ref="D19:K19" si="3">$C$7</f>
        <v>5.5E-2</v>
      </c>
      <c r="E19" s="111">
        <f t="shared" si="3"/>
        <v>5.5E-2</v>
      </c>
      <c r="G19" s="111">
        <f t="shared" si="3"/>
        <v>5.5E-2</v>
      </c>
      <c r="H19" s="111">
        <f t="shared" si="3"/>
        <v>5.5E-2</v>
      </c>
      <c r="I19" s="111">
        <f t="shared" si="3"/>
        <v>5.5E-2</v>
      </c>
      <c r="J19" s="111">
        <f t="shared" si="3"/>
        <v>5.5E-2</v>
      </c>
      <c r="K19" s="111">
        <f t="shared" si="3"/>
        <v>5.5E-2</v>
      </c>
    </row>
    <row r="21" spans="2:11" x14ac:dyDescent="0.3">
      <c r="B21" s="122" t="s">
        <v>309</v>
      </c>
      <c r="C21" s="258">
        <f>C19*C15*(1-C6)+C18*C16</f>
        <v>6.9134549548421645E-2</v>
      </c>
      <c r="D21" s="258">
        <f t="shared" ref="D21:K21" si="4">D19*D15*(1-D6)+D18*D16</f>
        <v>7.896359228451387E-2</v>
      </c>
      <c r="E21" s="258">
        <f t="shared" si="4"/>
        <v>8.3883278225069066E-2</v>
      </c>
      <c r="G21" s="258">
        <f t="shared" si="4"/>
        <v>8.6992107447072253E-2</v>
      </c>
      <c r="H21" s="258">
        <f t="shared" si="4"/>
        <v>8.9711663046500759E-2</v>
      </c>
      <c r="I21" s="258">
        <f t="shared" si="4"/>
        <v>9.2088939934315162E-2</v>
      </c>
      <c r="J21" s="258">
        <f t="shared" si="4"/>
        <v>9.4169187876473187E-2</v>
      </c>
      <c r="K21" s="258">
        <f t="shared" si="4"/>
        <v>9.599415358346497E-2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F42A-12B7-44D2-AA05-EE1266ABB229}">
  <sheetPr>
    <tabColor theme="0"/>
  </sheetPr>
  <dimension ref="B1:BD23"/>
  <sheetViews>
    <sheetView workbookViewId="0">
      <selection activeCell="G14" sqref="G14"/>
    </sheetView>
  </sheetViews>
  <sheetFormatPr defaultRowHeight="14.4" x14ac:dyDescent="0.3"/>
  <cols>
    <col min="1" max="1" width="1.88671875" style="1" customWidth="1"/>
    <col min="2" max="2" width="20.77734375" style="1" customWidth="1"/>
    <col min="3" max="3" width="9.5546875" style="1" bestFit="1" customWidth="1"/>
    <col min="4" max="5" width="8.88671875" style="1"/>
    <col min="6" max="6" width="8.77734375" style="1" customWidth="1"/>
    <col min="7" max="7" width="8.88671875" style="1"/>
    <col min="8" max="8" width="9.5546875" style="1" bestFit="1" customWidth="1"/>
    <col min="9" max="16384" width="8.88671875" style="1"/>
  </cols>
  <sheetData>
    <row r="1" spans="2:56" ht="15.6" x14ac:dyDescent="0.3">
      <c r="B1" s="332" t="s">
        <v>368</v>
      </c>
      <c r="C1" s="332"/>
    </row>
    <row r="2" spans="2:56" ht="15.6" x14ac:dyDescent="0.3">
      <c r="B2" s="5"/>
      <c r="C2" s="5"/>
    </row>
    <row r="3" spans="2:56" x14ac:dyDescent="0.3">
      <c r="B3" s="285" t="s">
        <v>385</v>
      </c>
    </row>
    <row r="4" spans="2:56" x14ac:dyDescent="0.3">
      <c r="B4" s="3" t="s">
        <v>311</v>
      </c>
      <c r="C4" s="280">
        <v>0.08</v>
      </c>
    </row>
    <row r="5" spans="2:56" x14ac:dyDescent="0.3">
      <c r="D5" s="1">
        <v>1</v>
      </c>
      <c r="E5" s="1">
        <v>2</v>
      </c>
      <c r="F5" s="1">
        <v>3</v>
      </c>
      <c r="G5" s="1">
        <v>4</v>
      </c>
      <c r="H5" s="1">
        <v>5</v>
      </c>
      <c r="BB5" s="111">
        <v>7.4999999999999997E-2</v>
      </c>
      <c r="BC5" s="111">
        <v>0.08</v>
      </c>
      <c r="BD5" s="111">
        <v>8.5000000000000006E-2</v>
      </c>
    </row>
    <row r="6" spans="2:56" x14ac:dyDescent="0.3">
      <c r="B6" s="333" t="s">
        <v>196</v>
      </c>
      <c r="C6" s="333"/>
      <c r="D6" s="244">
        <v>2025</v>
      </c>
      <c r="E6" s="244">
        <v>2026</v>
      </c>
      <c r="F6" s="244">
        <v>2027</v>
      </c>
      <c r="G6" s="244">
        <v>2028</v>
      </c>
      <c r="H6" s="244">
        <v>2029</v>
      </c>
    </row>
    <row r="7" spans="2:56" x14ac:dyDescent="0.3">
      <c r="B7" s="3" t="s">
        <v>312</v>
      </c>
      <c r="C7" s="3"/>
      <c r="D7" s="256">
        <f>'Cash Flow Forecast'!F19</f>
        <v>1989.9896270832328</v>
      </c>
      <c r="E7" s="256">
        <f>'Cash Flow Forecast'!G19</f>
        <v>2234.495881754382</v>
      </c>
      <c r="F7" s="256">
        <f>'Cash Flow Forecast'!H19</f>
        <v>2330.580890316076</v>
      </c>
      <c r="G7" s="256">
        <f>'Cash Flow Forecast'!I19</f>
        <v>2388.7167089138611</v>
      </c>
      <c r="H7" s="256">
        <f>'Cash Flow Forecast'!J19</f>
        <v>2495.3374596533813</v>
      </c>
    </row>
    <row r="8" spans="2:56" x14ac:dyDescent="0.3">
      <c r="B8" s="3" t="s">
        <v>315</v>
      </c>
      <c r="C8" s="3"/>
      <c r="D8" s="256"/>
      <c r="E8" s="256"/>
      <c r="F8" s="256"/>
      <c r="G8" s="256"/>
      <c r="H8" s="141">
        <f>H7*(1+C4)/(H9-C4)</f>
        <v>168496.84744879234</v>
      </c>
    </row>
    <row r="9" spans="2:56" x14ac:dyDescent="0.3">
      <c r="B9" s="1" t="s">
        <v>313</v>
      </c>
      <c r="D9" s="90">
        <f>WACC!G21</f>
        <v>8.6992107447072253E-2</v>
      </c>
      <c r="E9" s="90">
        <f>WACC!H21</f>
        <v>8.9711663046500759E-2</v>
      </c>
      <c r="F9" s="90">
        <f>WACC!I21</f>
        <v>9.2088939934315162E-2</v>
      </c>
      <c r="G9" s="90">
        <f>WACC!J21</f>
        <v>9.4169187876473187E-2</v>
      </c>
      <c r="H9" s="90">
        <f>WACC!K21</f>
        <v>9.599415358346497E-2</v>
      </c>
    </row>
    <row r="10" spans="2:56" x14ac:dyDescent="0.3">
      <c r="B10" s="122" t="s">
        <v>314</v>
      </c>
      <c r="C10" s="122"/>
      <c r="D10" s="257">
        <f>D7/(1+D9)^D5</f>
        <v>1830.7305209022679</v>
      </c>
      <c r="E10" s="257">
        <f>E7/(1+E9)^E5</f>
        <v>1881.7258903560908</v>
      </c>
      <c r="F10" s="257">
        <f>F7/(1+F9)^F5</f>
        <v>1789.3288101822982</v>
      </c>
      <c r="G10" s="257">
        <f>G7/(1+G9)^G5</f>
        <v>1666.582143953369</v>
      </c>
      <c r="H10" s="257">
        <f>H7/(1+H9)^H5</f>
        <v>1577.9313285977032</v>
      </c>
    </row>
    <row r="13" spans="2:56" ht="15" thickBot="1" x14ac:dyDescent="0.35">
      <c r="B13" s="281" t="s">
        <v>386</v>
      </c>
    </row>
    <row r="14" spans="2:56" x14ac:dyDescent="0.3">
      <c r="B14" s="263" t="s">
        <v>317</v>
      </c>
      <c r="C14" s="272">
        <f>SUM(D10:H10)</f>
        <v>8746.2986939917282</v>
      </c>
    </row>
    <row r="15" spans="2:56" x14ac:dyDescent="0.3">
      <c r="B15" s="265" t="s">
        <v>316</v>
      </c>
      <c r="C15" s="267">
        <f>H8/(1+H9)^H5</f>
        <v>106549.29790391131</v>
      </c>
    </row>
    <row r="16" spans="2:56" x14ac:dyDescent="0.3">
      <c r="B16" s="273" t="s">
        <v>318</v>
      </c>
      <c r="C16" s="274">
        <f>C14+C15</f>
        <v>115295.59659790304</v>
      </c>
    </row>
    <row r="17" spans="2:3" x14ac:dyDescent="0.3">
      <c r="B17" s="265" t="s">
        <v>320</v>
      </c>
      <c r="C17" s="275">
        <f>('BS Forecast'!E20+'BS Forecast'!E19)-'Cash Flow'!E8</f>
        <v>2301.5000000000005</v>
      </c>
    </row>
    <row r="18" spans="2:3" x14ac:dyDescent="0.3">
      <c r="B18" s="273" t="s">
        <v>319</v>
      </c>
      <c r="C18" s="274">
        <f>C16-C17</f>
        <v>112994.09659790304</v>
      </c>
    </row>
    <row r="19" spans="2:3" x14ac:dyDescent="0.3">
      <c r="B19" s="265" t="s">
        <v>327</v>
      </c>
      <c r="C19" s="267">
        <f>'P&amp;L'!E31</f>
        <v>24.08</v>
      </c>
    </row>
    <row r="20" spans="2:3" x14ac:dyDescent="0.3">
      <c r="B20" s="273" t="s">
        <v>387</v>
      </c>
      <c r="C20" s="282">
        <f>C18/C19</f>
        <v>4692.4458720059411</v>
      </c>
    </row>
    <row r="21" spans="2:3" x14ac:dyDescent="0.3">
      <c r="B21" s="268" t="s">
        <v>328</v>
      </c>
      <c r="C21" s="283">
        <f>'Britannia Stock Data'!B13</f>
        <v>5866</v>
      </c>
    </row>
    <row r="22" spans="2:3" x14ac:dyDescent="0.3">
      <c r="B22" s="273" t="str">
        <f>IF(C21&gt;C20,"Overvalued","Undervalued")</f>
        <v>Overvalued</v>
      </c>
      <c r="C22" s="278">
        <f>C21/C20-1</f>
        <v>0.25009433459748887</v>
      </c>
    </row>
    <row r="23" spans="2:3" ht="15" thickBot="1" x14ac:dyDescent="0.35">
      <c r="B23" s="276" t="s">
        <v>384</v>
      </c>
      <c r="C23" s="279" t="str">
        <f>IF(ABS(C21-C20) &lt;= 500, "HOLD", IF(C21&gt; C20, "SELL", "BUY"))</f>
        <v>SELL</v>
      </c>
    </row>
  </sheetData>
  <mergeCells count="2">
    <mergeCell ref="B1:C1"/>
    <mergeCell ref="B6:C6"/>
  </mergeCells>
  <conditionalFormatting sqref="C22">
    <cfRule type="iconSet" priority="9">
      <iconSet iconSet="3Arrows">
        <cfvo type="percent" val="0"/>
        <cfvo type="num" val="0"/>
        <cfvo type="num" val="9.9999999999999995E-8" gte="0"/>
      </iconSet>
    </cfRule>
  </conditionalFormatting>
  <conditionalFormatting sqref="E16">
    <cfRule type="iconSet" priority="6">
      <iconSet>
        <cfvo type="percent" val="0"/>
        <cfvo type="percent" val="33"/>
        <cfvo type="percent" val="67"/>
      </iconSet>
    </cfRule>
  </conditionalFormatting>
  <dataValidations count="1">
    <dataValidation type="list" allowBlank="1" showInputMessage="1" showErrorMessage="1" sqref="C4" xr:uid="{0FDAEEA8-3397-47CE-9007-7AA74499FAE6}">
      <formula1>$BB$5:$BD$5</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8FE36704-2FEE-40D4-82C9-22CCB146BAC3}">
            <xm:f>NOT(ISERROR(SEARCH("HOLD",C4)))</xm:f>
            <xm:f>"HOLD"</xm:f>
            <x14:dxf>
              <font>
                <b/>
                <i val="0"/>
                <color theme="0"/>
              </font>
              <fill>
                <patternFill>
                  <bgColor rgb="FFFFC000"/>
                </patternFill>
              </fill>
            </x14:dxf>
          </x14:cfRule>
          <xm:sqref>C4</xm:sqref>
        </x14:conditionalFormatting>
        <x14:conditionalFormatting xmlns:xm="http://schemas.microsoft.com/office/excel/2006/main">
          <x14:cfRule type="containsText" priority="1" operator="containsText" id="{19487D68-DA90-4848-BD33-BF5968F00F64}">
            <xm:f>NOT(ISERROR(SEARCH("HOLD",C23)))</xm:f>
            <xm:f>"HOLD"</xm:f>
            <x14:dxf>
              <font>
                <b/>
                <i val="0"/>
                <color theme="0"/>
              </font>
              <fill>
                <patternFill>
                  <bgColor rgb="FFFFC000"/>
                </patternFill>
              </fill>
            </x14:dxf>
          </x14:cfRule>
          <x14:cfRule type="containsText" priority="3" operator="containsText" id="{D8FC172B-A3A1-47DF-8260-0CDE5DA3BCB2}">
            <xm:f>NOT(ISERROR(SEARCH("BUY",C23)))</xm:f>
            <xm:f>"BUY"</xm:f>
            <x14:dxf>
              <font>
                <b/>
                <i val="0"/>
                <color theme="0"/>
              </font>
              <fill>
                <patternFill>
                  <bgColor rgb="FF00B050"/>
                </patternFill>
              </fill>
            </x14:dxf>
          </x14:cfRule>
          <x14:cfRule type="containsText" priority="4" operator="containsText" id="{F868B61D-66DF-48A2-ABC3-43F072AA1099}">
            <xm:f>NOT(ISERROR(SEARCH("SELL",C23)))</xm:f>
            <xm:f>"SELL"</xm:f>
            <x14:dxf>
              <font>
                <b/>
                <i val="0"/>
                <color theme="0"/>
              </font>
              <fill>
                <patternFill>
                  <bgColor rgb="FFFF0000"/>
                </patternFill>
              </fill>
            </x14:dxf>
          </x14:cfRule>
          <xm:sqref>C23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14F0-4439-4A93-8728-61EB9DAC4F48}">
  <sheetPr codeName="Sheet10">
    <tabColor theme="0"/>
  </sheetPr>
  <dimension ref="B1:J12"/>
  <sheetViews>
    <sheetView workbookViewId="0">
      <selection activeCell="G14" sqref="G14"/>
    </sheetView>
  </sheetViews>
  <sheetFormatPr defaultRowHeight="14.4" x14ac:dyDescent="0.3"/>
  <cols>
    <col min="1" max="1" width="1.88671875" style="1" customWidth="1"/>
    <col min="2" max="2" width="15.33203125" style="1" customWidth="1"/>
    <col min="3" max="10" width="11.77734375" style="1" customWidth="1"/>
    <col min="11" max="16384" width="8.88671875" style="1"/>
  </cols>
  <sheetData>
    <row r="1" spans="2:10" ht="15.6" x14ac:dyDescent="0.3">
      <c r="B1" s="332" t="s">
        <v>177</v>
      </c>
      <c r="C1" s="332"/>
    </row>
    <row r="4" spans="2:10" x14ac:dyDescent="0.3">
      <c r="B4" s="87"/>
      <c r="C4" s="87"/>
      <c r="D4" s="87"/>
      <c r="E4" s="87"/>
      <c r="F4" s="334" t="s">
        <v>131</v>
      </c>
      <c r="G4" s="335"/>
      <c r="H4" s="335"/>
      <c r="I4" s="335"/>
      <c r="J4" s="336"/>
    </row>
    <row r="5" spans="2:10" x14ac:dyDescent="0.3">
      <c r="B5" s="84" t="s">
        <v>132</v>
      </c>
      <c r="C5" s="85">
        <v>44926</v>
      </c>
      <c r="D5" s="85">
        <v>45291</v>
      </c>
      <c r="E5" s="85">
        <v>45657</v>
      </c>
      <c r="F5" s="159">
        <v>46022</v>
      </c>
      <c r="G5" s="159">
        <v>46387</v>
      </c>
      <c r="H5" s="159">
        <v>46752</v>
      </c>
      <c r="I5" s="159">
        <v>47118</v>
      </c>
      <c r="J5" s="159">
        <v>47483</v>
      </c>
    </row>
    <row r="6" spans="2:10" x14ac:dyDescent="0.3">
      <c r="B6" s="16" t="s">
        <v>178</v>
      </c>
      <c r="C6" s="80"/>
      <c r="D6" s="80"/>
      <c r="E6" s="80"/>
      <c r="F6" s="76">
        <f>E10</f>
        <v>3527.52</v>
      </c>
      <c r="G6" s="76">
        <f t="shared" ref="G6:J6" si="0">F10</f>
        <v>4193.7551790386033</v>
      </c>
      <c r="H6" s="76">
        <f t="shared" si="0"/>
        <v>4886.988010163599</v>
      </c>
      <c r="I6" s="76">
        <f t="shared" si="0"/>
        <v>5608.3542524011527</v>
      </c>
      <c r="J6" s="76">
        <f t="shared" si="0"/>
        <v>6359.0363168772747</v>
      </c>
    </row>
    <row r="7" spans="2:10" x14ac:dyDescent="0.3">
      <c r="B7" s="16" t="s">
        <v>179</v>
      </c>
      <c r="C7" s="81"/>
      <c r="D7" s="81"/>
      <c r="E7" s="81"/>
      <c r="F7" s="77">
        <v>0</v>
      </c>
      <c r="G7" s="77">
        <v>0</v>
      </c>
      <c r="H7" s="77">
        <v>0</v>
      </c>
      <c r="I7" s="77">
        <v>0</v>
      </c>
      <c r="J7" s="77">
        <v>0</v>
      </c>
    </row>
    <row r="8" spans="2:10" x14ac:dyDescent="0.3">
      <c r="B8" s="16" t="s">
        <v>180</v>
      </c>
      <c r="C8" s="81"/>
      <c r="D8" s="81"/>
      <c r="E8" s="81"/>
      <c r="F8" s="77">
        <f>'P&amp;L Forecast'!G21</f>
        <v>2220.7839301286772</v>
      </c>
      <c r="G8" s="77">
        <f>'P&amp;L Forecast'!H21</f>
        <v>2310.7761037499849</v>
      </c>
      <c r="H8" s="77">
        <f>'P&amp;L Forecast'!I21</f>
        <v>2404.5541407918467</v>
      </c>
      <c r="I8" s="77">
        <f>'P&amp;L Forecast'!J21</f>
        <v>2502.2735482537405</v>
      </c>
      <c r="J8" s="77">
        <f>'P&amp;L Forecast'!K21</f>
        <v>2604.0976635743473</v>
      </c>
    </row>
    <row r="9" spans="2:10" x14ac:dyDescent="0.3">
      <c r="B9" s="97" t="s">
        <v>181</v>
      </c>
      <c r="C9" s="81"/>
      <c r="D9" s="81"/>
      <c r="E9" s="81"/>
      <c r="F9" s="154">
        <f>-IF(F8&lt;0,0,F8*F12)</f>
        <v>-1554.5487510900739</v>
      </c>
      <c r="G9" s="154">
        <f t="shared" ref="G9:I9" si="1">-IF(G8&lt;0,0,G8*G12)</f>
        <v>-1617.5432726249894</v>
      </c>
      <c r="H9" s="154">
        <f>-IF(H8&lt;0,0,H8*H12)</f>
        <v>-1683.1878985542926</v>
      </c>
      <c r="I9" s="154">
        <f t="shared" si="1"/>
        <v>-1751.5914837776184</v>
      </c>
      <c r="J9" s="154">
        <f>-IF(J8&lt;0,0,J8*J12)</f>
        <v>-1822.8683645020431</v>
      </c>
    </row>
    <row r="10" spans="2:10" x14ac:dyDescent="0.3">
      <c r="B10" s="18" t="s">
        <v>182</v>
      </c>
      <c r="C10" s="82"/>
      <c r="D10" s="82"/>
      <c r="E10" s="160">
        <f>'BS Forecast'!E26</f>
        <v>3527.52</v>
      </c>
      <c r="F10" s="83">
        <f>SUM(F6:F9)</f>
        <v>4193.7551790386033</v>
      </c>
      <c r="G10" s="83">
        <f>SUM(G6:G9)</f>
        <v>4886.988010163599</v>
      </c>
      <c r="H10" s="83">
        <f t="shared" ref="H10:J10" si="2">SUM(H6:H9)</f>
        <v>5608.3542524011527</v>
      </c>
      <c r="I10" s="83">
        <f t="shared" si="2"/>
        <v>6359.0363168772747</v>
      </c>
      <c r="J10" s="83">
        <f t="shared" si="2"/>
        <v>7140.2656159495782</v>
      </c>
    </row>
    <row r="11" spans="2:10" x14ac:dyDescent="0.3">
      <c r="D11" s="90"/>
      <c r="E11" s="90"/>
      <c r="F11" s="111"/>
      <c r="G11" s="111"/>
      <c r="H11" s="111"/>
      <c r="I11" s="111"/>
      <c r="J11" s="111"/>
    </row>
    <row r="12" spans="2:10" x14ac:dyDescent="0.3">
      <c r="B12" s="37" t="s">
        <v>183</v>
      </c>
      <c r="C12" s="37"/>
      <c r="D12" s="48"/>
      <c r="E12" s="48"/>
      <c r="F12" s="161">
        <v>0.7</v>
      </c>
      <c r="G12" s="161">
        <v>0.7</v>
      </c>
      <c r="H12" s="161">
        <v>0.7</v>
      </c>
      <c r="I12" s="161">
        <v>0.7</v>
      </c>
      <c r="J12" s="161">
        <v>0.7</v>
      </c>
    </row>
  </sheetData>
  <mergeCells count="2">
    <mergeCell ref="B1:C1"/>
    <mergeCell ref="F4:J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CC27-857A-4192-9DEB-3B6B9158F5EA}">
  <sheetPr codeName="Sheet11"/>
  <dimension ref="B1:L21"/>
  <sheetViews>
    <sheetView workbookViewId="0"/>
  </sheetViews>
  <sheetFormatPr defaultRowHeight="14.4" outlineLevelRow="1" x14ac:dyDescent="0.3"/>
  <cols>
    <col min="1" max="1" width="1.88671875" style="1" customWidth="1"/>
    <col min="2" max="2" width="19.6640625" style="1" customWidth="1"/>
    <col min="3" max="10" width="14.33203125" style="1" customWidth="1"/>
    <col min="11" max="11" width="10.33203125" style="1" customWidth="1"/>
    <col min="12" max="16384" width="8.88671875" style="1"/>
  </cols>
  <sheetData>
    <row r="1" spans="2:10" ht="17.399999999999999" x14ac:dyDescent="0.3">
      <c r="B1" s="96" t="s">
        <v>154</v>
      </c>
    </row>
    <row r="3" spans="2:10" ht="15.6" x14ac:dyDescent="0.3">
      <c r="B3" s="286"/>
      <c r="C3" s="286"/>
    </row>
    <row r="4" spans="2:10" x14ac:dyDescent="0.3">
      <c r="B4" s="87"/>
      <c r="C4" s="87"/>
      <c r="D4" s="87"/>
      <c r="E4" s="89"/>
      <c r="F4" s="337" t="s">
        <v>131</v>
      </c>
      <c r="G4" s="338"/>
      <c r="H4" s="338"/>
      <c r="I4" s="338"/>
      <c r="J4" s="339"/>
    </row>
    <row r="5" spans="2:10" x14ac:dyDescent="0.3">
      <c r="B5" s="84" t="s">
        <v>132</v>
      </c>
      <c r="C5" s="85">
        <v>44926</v>
      </c>
      <c r="D5" s="85">
        <v>45291</v>
      </c>
      <c r="E5" s="85">
        <v>45657</v>
      </c>
      <c r="F5" s="85">
        <v>46022</v>
      </c>
      <c r="G5" s="85">
        <v>46387</v>
      </c>
      <c r="H5" s="85">
        <v>46752</v>
      </c>
      <c r="I5" s="85">
        <v>47118</v>
      </c>
      <c r="J5" s="85">
        <v>47483</v>
      </c>
    </row>
    <row r="6" spans="2:10" x14ac:dyDescent="0.3">
      <c r="B6" s="16" t="s">
        <v>140</v>
      </c>
      <c r="C6" s="80"/>
      <c r="D6" s="78">
        <f>C9</f>
        <v>750.93999999999994</v>
      </c>
      <c r="E6" s="78">
        <f t="shared" ref="E6:J6" si="0">D9</f>
        <v>1611.93</v>
      </c>
      <c r="F6" s="76">
        <f t="shared" si="0"/>
        <v>970.24</v>
      </c>
      <c r="G6" s="76">
        <f t="shared" si="0"/>
        <v>906.37871596665912</v>
      </c>
      <c r="H6" s="76">
        <f t="shared" si="0"/>
        <v>836.76991637031745</v>
      </c>
      <c r="I6" s="76">
        <f t="shared" si="0"/>
        <v>760.89632481030503</v>
      </c>
      <c r="J6" s="76">
        <f t="shared" si="0"/>
        <v>678.19411000989157</v>
      </c>
    </row>
    <row r="7" spans="2:10" x14ac:dyDescent="0.3">
      <c r="B7" s="16" t="s">
        <v>141</v>
      </c>
      <c r="C7" s="81"/>
      <c r="D7" s="79">
        <f>IF(D9&lt;C9,0,D9-C9)</f>
        <v>860.99000000000012</v>
      </c>
      <c r="E7" s="79">
        <f>IF(E9&lt;D9,0,E9-D9)</f>
        <v>0</v>
      </c>
      <c r="F7" s="79">
        <f>100</f>
        <v>100</v>
      </c>
      <c r="G7" s="79">
        <f>100</f>
        <v>100</v>
      </c>
      <c r="H7" s="79">
        <f>100</f>
        <v>100</v>
      </c>
      <c r="I7" s="79">
        <f>100</f>
        <v>100</v>
      </c>
      <c r="J7" s="79">
        <f>100</f>
        <v>100</v>
      </c>
    </row>
    <row r="8" spans="2:10" x14ac:dyDescent="0.3">
      <c r="B8" s="16" t="s">
        <v>142</v>
      </c>
      <c r="C8" s="81"/>
      <c r="D8" s="79">
        <f>IF(D9&gt;C9,0,D9-C9)</f>
        <v>0</v>
      </c>
      <c r="E8" s="155">
        <f>IF(E9&gt;D9,0,E9-D9)</f>
        <v>-641.69000000000005</v>
      </c>
      <c r="F8" s="155">
        <f>C20</f>
        <v>-63.861284033340937</v>
      </c>
      <c r="G8" s="155">
        <f t="shared" ref="G8:J8" si="1">D20</f>
        <v>-69.608799596341626</v>
      </c>
      <c r="H8" s="155">
        <f t="shared" si="1"/>
        <v>-75.873591560012372</v>
      </c>
      <c r="I8" s="155">
        <f t="shared" si="1"/>
        <v>-82.702214800413486</v>
      </c>
      <c r="J8" s="155">
        <f t="shared" si="1"/>
        <v>-90.145414132450696</v>
      </c>
    </row>
    <row r="9" spans="2:10" x14ac:dyDescent="0.3">
      <c r="B9" s="27" t="s">
        <v>143</v>
      </c>
      <c r="C9" s="82">
        <f>'BS Forecast'!C20</f>
        <v>750.93999999999994</v>
      </c>
      <c r="D9" s="82">
        <f>'BS Forecast'!D20</f>
        <v>1611.93</v>
      </c>
      <c r="E9" s="82">
        <f>'BS Forecast'!E20</f>
        <v>970.24</v>
      </c>
      <c r="F9" s="83">
        <f>C21</f>
        <v>906.37871596665912</v>
      </c>
      <c r="G9" s="83">
        <f>D21</f>
        <v>836.76991637031745</v>
      </c>
      <c r="H9" s="83">
        <f>E21</f>
        <v>760.89632481030503</v>
      </c>
      <c r="I9" s="83">
        <f t="shared" ref="I9:J9" si="2">F21</f>
        <v>678.19411000989157</v>
      </c>
      <c r="J9" s="83">
        <f t="shared" si="2"/>
        <v>588.04869587744088</v>
      </c>
    </row>
    <row r="10" spans="2:10" x14ac:dyDescent="0.3">
      <c r="C10" s="3"/>
    </row>
    <row r="11" spans="2:10" outlineLevel="1" x14ac:dyDescent="0.3">
      <c r="B11" s="38" t="s">
        <v>149</v>
      </c>
      <c r="C11" s="38">
        <v>10</v>
      </c>
    </row>
    <row r="12" spans="2:10" outlineLevel="1" x14ac:dyDescent="0.3">
      <c r="B12" s="38" t="s">
        <v>150</v>
      </c>
      <c r="C12" s="86">
        <v>0.09</v>
      </c>
    </row>
    <row r="13" spans="2:10" outlineLevel="1" x14ac:dyDescent="0.3">
      <c r="B13" s="38" t="s">
        <v>151</v>
      </c>
      <c r="C13" s="156">
        <f>PMT(C12,C11,E9)</f>
        <v>-151.18288403334094</v>
      </c>
    </row>
    <row r="14" spans="2:10" outlineLevel="1" x14ac:dyDescent="0.3">
      <c r="C14" s="54"/>
    </row>
    <row r="15" spans="2:10" outlineLevel="1" x14ac:dyDescent="0.3">
      <c r="C15" s="54"/>
    </row>
    <row r="16" spans="2:10" outlineLevel="1" x14ac:dyDescent="0.3"/>
    <row r="17" spans="2:12" outlineLevel="1" x14ac:dyDescent="0.3">
      <c r="B17" s="91" t="s">
        <v>144</v>
      </c>
      <c r="C17" s="91">
        <v>1</v>
      </c>
      <c r="D17" s="91">
        <v>2</v>
      </c>
      <c r="E17" s="91">
        <v>3</v>
      </c>
      <c r="F17" s="91">
        <v>4</v>
      </c>
      <c r="G17" s="91">
        <v>5</v>
      </c>
      <c r="H17" s="91">
        <v>6</v>
      </c>
      <c r="I17" s="91">
        <v>7</v>
      </c>
      <c r="J17" s="91">
        <v>8</v>
      </c>
      <c r="K17" s="91">
        <v>9</v>
      </c>
      <c r="L17" s="91">
        <v>10</v>
      </c>
    </row>
    <row r="18" spans="2:12" outlineLevel="1" x14ac:dyDescent="0.3">
      <c r="B18" s="38" t="s">
        <v>145</v>
      </c>
      <c r="C18" s="156">
        <f>$C$13</f>
        <v>-151.18288403334094</v>
      </c>
      <c r="D18" s="156">
        <f t="shared" ref="D18:L18" si="3">$C$13</f>
        <v>-151.18288403334094</v>
      </c>
      <c r="E18" s="156">
        <f t="shared" si="3"/>
        <v>-151.18288403334094</v>
      </c>
      <c r="F18" s="156">
        <f t="shared" si="3"/>
        <v>-151.18288403334094</v>
      </c>
      <c r="G18" s="156">
        <f t="shared" si="3"/>
        <v>-151.18288403334094</v>
      </c>
      <c r="H18" s="156">
        <f t="shared" si="3"/>
        <v>-151.18288403334094</v>
      </c>
      <c r="I18" s="156">
        <f t="shared" si="3"/>
        <v>-151.18288403334094</v>
      </c>
      <c r="J18" s="156">
        <f t="shared" si="3"/>
        <v>-151.18288403334094</v>
      </c>
      <c r="K18" s="156">
        <f t="shared" si="3"/>
        <v>-151.18288403334094</v>
      </c>
      <c r="L18" s="156">
        <f t="shared" si="3"/>
        <v>-151.18288403334094</v>
      </c>
    </row>
    <row r="19" spans="2:12" outlineLevel="1" x14ac:dyDescent="0.3">
      <c r="B19" s="38" t="s">
        <v>146</v>
      </c>
      <c r="C19" s="156">
        <f>-(E9*C12)</f>
        <v>-87.321600000000004</v>
      </c>
      <c r="D19" s="156">
        <f t="shared" ref="D19:I19" si="4">-(C21*$C$12)</f>
        <v>-81.574084436999314</v>
      </c>
      <c r="E19" s="156">
        <f t="shared" si="4"/>
        <v>-75.309292473328568</v>
      </c>
      <c r="F19" s="156">
        <f t="shared" si="4"/>
        <v>-68.480669232927454</v>
      </c>
      <c r="G19" s="156">
        <f t="shared" si="4"/>
        <v>-61.037469900890237</v>
      </c>
      <c r="H19" s="156">
        <f t="shared" si="4"/>
        <v>-52.924382628969674</v>
      </c>
      <c r="I19" s="156">
        <f t="shared" si="4"/>
        <v>-44.081117502576262</v>
      </c>
      <c r="J19" s="156">
        <f t="shared" ref="J19:L19" si="5">-(I21*$C$12)</f>
        <v>-34.441958514807446</v>
      </c>
      <c r="K19" s="156">
        <f t="shared" si="5"/>
        <v>-23.935275218139427</v>
      </c>
      <c r="L19" s="156">
        <f t="shared" si="5"/>
        <v>-12.482990424771291</v>
      </c>
    </row>
    <row r="20" spans="2:12" outlineLevel="1" x14ac:dyDescent="0.3">
      <c r="B20" s="38" t="s">
        <v>147</v>
      </c>
      <c r="C20" s="156">
        <f>C18-C19</f>
        <v>-63.861284033340937</v>
      </c>
      <c r="D20" s="156">
        <f t="shared" ref="D20:I20" si="6">D18-D19</f>
        <v>-69.608799596341626</v>
      </c>
      <c r="E20" s="156">
        <f t="shared" si="6"/>
        <v>-75.873591560012372</v>
      </c>
      <c r="F20" s="156">
        <f t="shared" si="6"/>
        <v>-82.702214800413486</v>
      </c>
      <c r="G20" s="156">
        <f t="shared" si="6"/>
        <v>-90.145414132450696</v>
      </c>
      <c r="H20" s="156">
        <f t="shared" si="6"/>
        <v>-98.258501404371259</v>
      </c>
      <c r="I20" s="156">
        <f t="shared" si="6"/>
        <v>-107.10176653076468</v>
      </c>
      <c r="J20" s="156">
        <f t="shared" ref="J20:L20" si="7">J18-J19</f>
        <v>-116.74092551853349</v>
      </c>
      <c r="K20" s="156">
        <f t="shared" si="7"/>
        <v>-127.24760881520152</v>
      </c>
      <c r="L20" s="156">
        <f t="shared" si="7"/>
        <v>-138.69989360856965</v>
      </c>
    </row>
    <row r="21" spans="2:12" outlineLevel="1" x14ac:dyDescent="0.3">
      <c r="B21" s="38" t="s">
        <v>148</v>
      </c>
      <c r="C21" s="39">
        <f>E$9+C$20</f>
        <v>906.37871596665912</v>
      </c>
      <c r="D21" s="39">
        <f t="shared" ref="D21:L21" si="8">C21+D20</f>
        <v>836.76991637031745</v>
      </c>
      <c r="E21" s="39">
        <f t="shared" si="8"/>
        <v>760.89632481030503</v>
      </c>
      <c r="F21" s="39">
        <f t="shared" si="8"/>
        <v>678.19411000989157</v>
      </c>
      <c r="G21" s="39">
        <f t="shared" si="8"/>
        <v>588.04869587744088</v>
      </c>
      <c r="H21" s="39">
        <f t="shared" si="8"/>
        <v>489.79019447306962</v>
      </c>
      <c r="I21" s="39">
        <f t="shared" si="8"/>
        <v>382.68842794230494</v>
      </c>
      <c r="J21" s="39">
        <f t="shared" si="8"/>
        <v>265.94750242377143</v>
      </c>
      <c r="K21" s="39">
        <f t="shared" si="8"/>
        <v>138.69989360856991</v>
      </c>
      <c r="L21" s="39">
        <f t="shared" si="8"/>
        <v>2.5579538487363607E-13</v>
      </c>
    </row>
  </sheetData>
  <mergeCells count="2">
    <mergeCell ref="F4:J4"/>
    <mergeCell ref="B3: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96AFE-6BC9-4DAB-B077-DE4962E056E2}">
  <sheetPr codeName="Sheet12"/>
  <dimension ref="B1:K11"/>
  <sheetViews>
    <sheetView workbookViewId="0"/>
  </sheetViews>
  <sheetFormatPr defaultRowHeight="14.4" x14ac:dyDescent="0.3"/>
  <cols>
    <col min="1" max="1" width="1.88671875" style="1" customWidth="1"/>
    <col min="2" max="10" width="12.44140625" style="1" customWidth="1"/>
    <col min="11" max="16384" width="8.88671875" style="1"/>
  </cols>
  <sheetData>
    <row r="1" spans="2:11" ht="15.6" x14ac:dyDescent="0.3">
      <c r="B1" s="286" t="s">
        <v>153</v>
      </c>
      <c r="C1" s="286"/>
    </row>
    <row r="2" spans="2:11" ht="15.6" x14ac:dyDescent="0.3">
      <c r="B2" s="2"/>
      <c r="C2" s="2"/>
    </row>
    <row r="3" spans="2:11" x14ac:dyDescent="0.3">
      <c r="B3" s="87"/>
      <c r="D3" s="87"/>
      <c r="E3" s="89"/>
      <c r="F3" s="337" t="s">
        <v>131</v>
      </c>
      <c r="G3" s="338"/>
      <c r="H3" s="338"/>
      <c r="I3" s="338"/>
      <c r="J3" s="339"/>
    </row>
    <row r="4" spans="2:11" x14ac:dyDescent="0.3">
      <c r="B4" s="84" t="s">
        <v>132</v>
      </c>
      <c r="C4" s="85">
        <v>44926</v>
      </c>
      <c r="D4" s="85">
        <v>45291</v>
      </c>
      <c r="E4" s="85">
        <v>45657</v>
      </c>
      <c r="F4" s="85">
        <v>46022</v>
      </c>
      <c r="G4" s="85">
        <v>46387</v>
      </c>
      <c r="H4" s="85">
        <v>46752</v>
      </c>
      <c r="I4" s="85">
        <v>47118</v>
      </c>
      <c r="J4" s="85">
        <v>47483</v>
      </c>
    </row>
    <row r="5" spans="2:11" x14ac:dyDescent="0.3">
      <c r="B5" s="16" t="s">
        <v>133</v>
      </c>
      <c r="C5" s="80"/>
      <c r="D5" s="78">
        <f>C8</f>
        <v>1327.41</v>
      </c>
      <c r="E5" s="78">
        <f>'BS Forecast'!D7</f>
        <v>2220.21</v>
      </c>
      <c r="F5" s="76">
        <f>E8</f>
        <v>2365.04</v>
      </c>
      <c r="G5" s="76">
        <f>F8</f>
        <v>2489.9534780157237</v>
      </c>
      <c r="H5" s="76">
        <f t="shared" ref="H5:J5" si="0">G8</f>
        <v>2621.4644668515539</v>
      </c>
      <c r="I5" s="76">
        <f t="shared" si="0"/>
        <v>2759.9214248941503</v>
      </c>
      <c r="J5" s="76">
        <f t="shared" si="0"/>
        <v>2905.6912149330669</v>
      </c>
    </row>
    <row r="6" spans="2:11" x14ac:dyDescent="0.3">
      <c r="B6" s="16" t="s">
        <v>90</v>
      </c>
      <c r="C6" s="81"/>
      <c r="D6" s="157">
        <f>'P&amp;L Forecast'!D15</f>
        <v>-195.1</v>
      </c>
      <c r="E6" s="157">
        <f>'P&amp;L Forecast'!E15</f>
        <v>-271.19</v>
      </c>
      <c r="F6" s="155">
        <f>F5*F10</f>
        <v>-318.244574961247</v>
      </c>
      <c r="G6" s="155">
        <f t="shared" ref="G6:J6" si="1">G5*G10</f>
        <v>-335.05318569004862</v>
      </c>
      <c r="H6" s="155">
        <f t="shared" si="1"/>
        <v>-352.74957084412301</v>
      </c>
      <c r="I6" s="155">
        <f t="shared" si="1"/>
        <v>-371.38061969010164</v>
      </c>
      <c r="J6" s="155">
        <f t="shared" si="1"/>
        <v>-390.99569802836453</v>
      </c>
    </row>
    <row r="7" spans="2:11" x14ac:dyDescent="0.3">
      <c r="B7" s="16" t="s">
        <v>134</v>
      </c>
      <c r="C7" s="81"/>
      <c r="D7" s="79">
        <f>D8-D6-D5</f>
        <v>1087.8999999999999</v>
      </c>
      <c r="E7" s="79">
        <f>E8-E6-E5</f>
        <v>416.02</v>
      </c>
      <c r="F7" s="77">
        <f>F5*F11</f>
        <v>443.15805297697062</v>
      </c>
      <c r="G7" s="77">
        <f t="shared" ref="G7:J7" si="2">G5*G11</f>
        <v>466.5641745258788</v>
      </c>
      <c r="H7" s="77">
        <f t="shared" si="2"/>
        <v>491.20652888671947</v>
      </c>
      <c r="I7" s="77">
        <f t="shared" si="2"/>
        <v>517.15040972901863</v>
      </c>
      <c r="J7" s="77">
        <f t="shared" si="2"/>
        <v>544.46455931486412</v>
      </c>
    </row>
    <row r="8" spans="2:11" x14ac:dyDescent="0.3">
      <c r="B8" s="27" t="s">
        <v>135</v>
      </c>
      <c r="C8" s="82">
        <f>'BS Forecast'!C7</f>
        <v>1327.41</v>
      </c>
      <c r="D8" s="82">
        <f>'BS Forecast'!D7</f>
        <v>2220.21</v>
      </c>
      <c r="E8" s="82">
        <f>'BS Forecast'!E7</f>
        <v>2365.04</v>
      </c>
      <c r="F8" s="83">
        <f>SUM(F5:F7)</f>
        <v>2489.9534780157237</v>
      </c>
      <c r="G8" s="83">
        <f>SUM(G5:G7)</f>
        <v>2621.4644668515539</v>
      </c>
      <c r="H8" s="83">
        <f t="shared" ref="H8:J8" si="3">SUM(H5:H7)</f>
        <v>2759.9214248941503</v>
      </c>
      <c r="I8" s="83">
        <f t="shared" si="3"/>
        <v>2905.6912149330669</v>
      </c>
      <c r="J8" s="83">
        <f t="shared" si="3"/>
        <v>3059.1600762195667</v>
      </c>
    </row>
    <row r="10" spans="2:11" x14ac:dyDescent="0.3">
      <c r="B10" s="38" t="s">
        <v>136</v>
      </c>
      <c r="C10" s="38"/>
      <c r="D10" s="88">
        <f>D6/D5</f>
        <v>-0.14697794954083515</v>
      </c>
      <c r="E10" s="88">
        <f>E6/E5</f>
        <v>-0.12214610329653501</v>
      </c>
      <c r="F10" s="88">
        <f>AVERAGE($D$10:$E$10)</f>
        <v>-0.13456202641868509</v>
      </c>
      <c r="G10" s="88">
        <f t="shared" ref="G10:J10" si="4">AVERAGE($D$10:$E$10)</f>
        <v>-0.13456202641868509</v>
      </c>
      <c r="H10" s="88">
        <f t="shared" si="4"/>
        <v>-0.13456202641868509</v>
      </c>
      <c r="I10" s="88">
        <f t="shared" si="4"/>
        <v>-0.13456202641868509</v>
      </c>
      <c r="J10" s="88">
        <f t="shared" si="4"/>
        <v>-0.13456202641868509</v>
      </c>
      <c r="K10" s="1" t="s">
        <v>138</v>
      </c>
    </row>
    <row r="11" spans="2:11" x14ac:dyDescent="0.3">
      <c r="B11" s="38" t="s">
        <v>137</v>
      </c>
      <c r="C11" s="38"/>
      <c r="D11" s="88">
        <f>D7/D5</f>
        <v>0.8195659216067378</v>
      </c>
      <c r="E11" s="88">
        <f>E7/E5</f>
        <v>0.18737867138694086</v>
      </c>
      <c r="F11" s="88">
        <f>$E$11</f>
        <v>0.18737867138694086</v>
      </c>
      <c r="G11" s="88">
        <f t="shared" ref="G11:J11" si="5">$E$11</f>
        <v>0.18737867138694086</v>
      </c>
      <c r="H11" s="88">
        <f t="shared" si="5"/>
        <v>0.18737867138694086</v>
      </c>
      <c r="I11" s="88">
        <f t="shared" si="5"/>
        <v>0.18737867138694086</v>
      </c>
      <c r="J11" s="88">
        <f t="shared" si="5"/>
        <v>0.18737867138694086</v>
      </c>
      <c r="K11" s="1" t="s">
        <v>139</v>
      </c>
    </row>
  </sheetData>
  <mergeCells count="2">
    <mergeCell ref="B1:C1"/>
    <mergeCell ref="F3:J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BF17-43B6-443E-AF92-429FC85A9190}">
  <sheetPr codeName="Sheet13">
    <tabColor rgb="FF002060"/>
  </sheetPr>
  <dimension ref="B1:C1"/>
  <sheetViews>
    <sheetView workbookViewId="0"/>
  </sheetViews>
  <sheetFormatPr defaultRowHeight="14.4" x14ac:dyDescent="0.3"/>
  <cols>
    <col min="1" max="1" width="1.88671875" style="1" customWidth="1"/>
    <col min="2" max="16384" width="8.88671875" style="1"/>
  </cols>
  <sheetData>
    <row r="1" spans="2:3" ht="15.6" x14ac:dyDescent="0.3">
      <c r="B1" s="286"/>
      <c r="C1" s="286"/>
    </row>
  </sheetData>
  <mergeCells count="1">
    <mergeCell ref="B1:C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F80F-33CA-4E49-9C62-40EC1DA3EF38}">
  <sheetPr codeName="Sheet14"/>
  <dimension ref="B1:K7"/>
  <sheetViews>
    <sheetView workbookViewId="0">
      <selection activeCell="S8" sqref="S8"/>
    </sheetView>
  </sheetViews>
  <sheetFormatPr defaultRowHeight="14.4" x14ac:dyDescent="0.3"/>
  <cols>
    <col min="1" max="1" width="1.88671875" style="1" customWidth="1"/>
    <col min="2" max="2" width="32.21875" style="1" customWidth="1"/>
    <col min="3" max="5" width="11.88671875" style="1" customWidth="1"/>
    <col min="6" max="6" width="2.33203125" style="1" customWidth="1"/>
    <col min="7" max="11" width="11.88671875" style="1" customWidth="1"/>
    <col min="12" max="16384" width="8.88671875" style="1"/>
  </cols>
  <sheetData>
    <row r="1" spans="2:11" ht="15.6" x14ac:dyDescent="0.3">
      <c r="B1" s="5" t="s">
        <v>193</v>
      </c>
      <c r="C1" s="129"/>
    </row>
    <row r="2" spans="2:11" ht="15.6" x14ac:dyDescent="0.3">
      <c r="B2" s="2"/>
      <c r="C2" s="129"/>
    </row>
    <row r="3" spans="2:11" ht="15.6" x14ac:dyDescent="0.3">
      <c r="B3" s="2"/>
      <c r="C3" s="323" t="s">
        <v>70</v>
      </c>
      <c r="D3" s="323"/>
      <c r="E3" s="323"/>
      <c r="G3" s="323" t="s">
        <v>69</v>
      </c>
      <c r="H3" s="323"/>
      <c r="I3" s="323"/>
      <c r="J3" s="323"/>
      <c r="K3" s="323"/>
    </row>
    <row r="4" spans="2:11" x14ac:dyDescent="0.3">
      <c r="B4" s="124" t="s">
        <v>196</v>
      </c>
      <c r="C4" s="130" t="s">
        <v>191</v>
      </c>
      <c r="D4" s="130" t="s">
        <v>167</v>
      </c>
      <c r="E4" s="130" t="s">
        <v>168</v>
      </c>
      <c r="F4" s="127"/>
      <c r="G4" s="130" t="s">
        <v>169</v>
      </c>
      <c r="H4" s="130" t="s">
        <v>170</v>
      </c>
      <c r="I4" s="130" t="s">
        <v>171</v>
      </c>
      <c r="J4" s="130" t="s">
        <v>172</v>
      </c>
      <c r="K4" s="130" t="s">
        <v>173</v>
      </c>
    </row>
    <row r="5" spans="2:11" x14ac:dyDescent="0.3">
      <c r="B5" s="3" t="s">
        <v>194</v>
      </c>
      <c r="C5" s="36">
        <f>'P&amp;L Forecast'!C10</f>
        <v>13731.050000000001</v>
      </c>
      <c r="D5" s="36">
        <f>'P&amp;L Forecast'!D10</f>
        <v>15839.01</v>
      </c>
      <c r="E5" s="36">
        <f>'P&amp;L Forecast'!E10</f>
        <v>16396.189999999999</v>
      </c>
      <c r="F5" s="36"/>
      <c r="G5" s="36">
        <f>'P&amp;L Forecast'!G10</f>
        <v>17033.127700000001</v>
      </c>
      <c r="H5" s="36">
        <f>'P&amp;L Forecast'!H10</f>
        <v>17696.488402999999</v>
      </c>
      <c r="I5" s="36">
        <f>'P&amp;L Forecast'!I10</f>
        <v>18387.281754370004</v>
      </c>
      <c r="J5" s="36">
        <f>'P&amp;L Forecast'!J10</f>
        <v>19106.560149032306</v>
      </c>
      <c r="K5" s="36">
        <f>'P&amp;L Forecast'!K10</f>
        <v>19855.420323256723</v>
      </c>
    </row>
    <row r="6" spans="2:11" x14ac:dyDescent="0.3">
      <c r="B6" s="3" t="s">
        <v>71</v>
      </c>
      <c r="C6" s="36">
        <f>'P&amp;L Forecast'!C14</f>
        <v>2448.5899999999992</v>
      </c>
      <c r="D6" s="36">
        <f>'P&amp;L Forecast'!D14</f>
        <v>2962.3799999999992</v>
      </c>
      <c r="E6" s="36">
        <f>'P&amp;L Forecast'!E14</f>
        <v>3280.9299999999985</v>
      </c>
      <c r="F6" s="36"/>
      <c r="G6" s="36">
        <f>'P&amp;L Forecast'!G14</f>
        <v>3406.6255400000005</v>
      </c>
      <c r="H6" s="36">
        <f>'P&amp;L Forecast'!H14</f>
        <v>3539.2976806000006</v>
      </c>
      <c r="I6" s="36">
        <f>'P&amp;L Forecast'!I14</f>
        <v>3677.4563508740011</v>
      </c>
      <c r="J6" s="36">
        <f>'P&amp;L Forecast'!J14</f>
        <v>3821.3120298064623</v>
      </c>
      <c r="K6" s="36">
        <f>'P&amp;L Forecast'!K14</f>
        <v>3971.0840646513461</v>
      </c>
    </row>
    <row r="7" spans="2:11" x14ac:dyDescent="0.3">
      <c r="B7" s="122" t="s">
        <v>195</v>
      </c>
      <c r="C7" s="131">
        <f>C6/C5</f>
        <v>0.17832503705106303</v>
      </c>
      <c r="D7" s="131">
        <f t="shared" ref="D7:K7" si="0">D6/D5</f>
        <v>0.18703062880823987</v>
      </c>
      <c r="E7" s="131">
        <f t="shared" si="0"/>
        <v>0.2001031947055992</v>
      </c>
      <c r="F7" s="132"/>
      <c r="G7" s="131">
        <f t="shared" si="0"/>
        <v>0.2</v>
      </c>
      <c r="H7" s="131">
        <f t="shared" si="0"/>
        <v>0.20000000000000004</v>
      </c>
      <c r="I7" s="131">
        <f t="shared" si="0"/>
        <v>0.2</v>
      </c>
      <c r="J7" s="131">
        <f t="shared" si="0"/>
        <v>0.20000000000000007</v>
      </c>
      <c r="K7" s="131">
        <f t="shared" si="0"/>
        <v>0.20000000000000007</v>
      </c>
    </row>
  </sheetData>
  <mergeCells count="2">
    <mergeCell ref="C3:E3"/>
    <mergeCell ref="G3:K3"/>
  </mergeCells>
  <phoneticPr fontId="7"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14C6-2520-47F7-8FEA-0A3B8097EEC7}">
  <sheetPr codeName="Sheet16"/>
  <dimension ref="B1:K11"/>
  <sheetViews>
    <sheetView zoomScale="93" zoomScaleNormal="93" zoomScaleSheetLayoutView="100" workbookViewId="0"/>
  </sheetViews>
  <sheetFormatPr defaultRowHeight="14.4" x14ac:dyDescent="0.3"/>
  <cols>
    <col min="1" max="1" width="1.88671875" style="1" customWidth="1"/>
    <col min="2" max="2" width="30.5546875" style="1" customWidth="1"/>
    <col min="3" max="5" width="9.5546875" style="1" bestFit="1" customWidth="1"/>
    <col min="6" max="6" width="2.33203125" style="1" customWidth="1"/>
    <col min="7" max="16384" width="8.88671875" style="1"/>
  </cols>
  <sheetData>
    <row r="1" spans="2:11" ht="15.6" x14ac:dyDescent="0.3">
      <c r="B1" s="5" t="s">
        <v>197</v>
      </c>
      <c r="C1" s="5"/>
    </row>
    <row r="3" spans="2:11" x14ac:dyDescent="0.3">
      <c r="B3" s="134" t="s">
        <v>196</v>
      </c>
      <c r="C3" s="130" t="s">
        <v>191</v>
      </c>
      <c r="D3" s="130" t="s">
        <v>167</v>
      </c>
      <c r="E3" s="130" t="s">
        <v>168</v>
      </c>
      <c r="F3" s="40"/>
      <c r="G3" s="130" t="s">
        <v>169</v>
      </c>
      <c r="H3" s="130" t="s">
        <v>170</v>
      </c>
      <c r="I3" s="130" t="s">
        <v>171</v>
      </c>
      <c r="J3" s="130" t="s">
        <v>172</v>
      </c>
      <c r="K3" s="130" t="s">
        <v>173</v>
      </c>
    </row>
    <row r="4" spans="2:11" x14ac:dyDescent="0.3">
      <c r="B4" s="1" t="s">
        <v>109</v>
      </c>
      <c r="C4" s="1">
        <f>'BS Forecast'!C13</f>
        <v>1251.6400000000001</v>
      </c>
      <c r="D4" s="1">
        <f>'BS Forecast'!D13</f>
        <v>1074.6199999999999</v>
      </c>
      <c r="E4" s="1">
        <f>'BS Forecast'!E13</f>
        <v>1075.44</v>
      </c>
      <c r="G4" s="36">
        <f>'BS Forecast'!G13</f>
        <v>1126.896268195751</v>
      </c>
      <c r="H4" s="36">
        <f>'BS Forecast'!H13</f>
        <v>1170.7836101945081</v>
      </c>
      <c r="I4" s="36">
        <f>'BS Forecast'!I13</f>
        <v>1216.4858713096701</v>
      </c>
      <c r="J4" s="36">
        <f>'BS Forecast'!J13</f>
        <v>1264.0726770340689</v>
      </c>
      <c r="K4" s="36">
        <f>'BS Forecast'!K13</f>
        <v>1313.6165864438431</v>
      </c>
    </row>
    <row r="5" spans="2:11" x14ac:dyDescent="0.3">
      <c r="B5" s="1" t="s">
        <v>198</v>
      </c>
      <c r="C5" s="1">
        <f>'BS Forecast'!C14</f>
        <v>253.85</v>
      </c>
      <c r="D5" s="1">
        <f>'BS Forecast'!D14</f>
        <v>278.42</v>
      </c>
      <c r="E5" s="1">
        <f>'BS Forecast'!E14</f>
        <v>347.05</v>
      </c>
      <c r="G5" s="36">
        <f>'BS Forecast'!G14</f>
        <v>360.53174355048344</v>
      </c>
      <c r="H5" s="36">
        <f>'BS Forecast'!H14</f>
        <v>374.57276966546198</v>
      </c>
      <c r="I5" s="36">
        <f>'BS Forecast'!I14</f>
        <v>389.19444900639178</v>
      </c>
      <c r="J5" s="36">
        <f>'BS Forecast'!J14</f>
        <v>404.41905709324317</v>
      </c>
      <c r="K5" s="36">
        <f>'BS Forecast'!K14</f>
        <v>420.26980799723879</v>
      </c>
    </row>
    <row r="6" spans="2:11" x14ac:dyDescent="0.3">
      <c r="B6" s="1" t="s">
        <v>164</v>
      </c>
      <c r="C6" s="1">
        <f>'BS Forecast'!C21</f>
        <v>1194.21</v>
      </c>
      <c r="D6" s="1">
        <f>'BS Forecast'!D21</f>
        <v>1308.76</v>
      </c>
      <c r="E6" s="1">
        <f>'BS Forecast'!E21</f>
        <v>1513.14</v>
      </c>
      <c r="G6" s="36">
        <f>'BS Forecast'!G21</f>
        <v>1448.3053618860754</v>
      </c>
      <c r="H6" s="36">
        <f>'BS Forecast'!H21</f>
        <v>1504.7100856655734</v>
      </c>
      <c r="I6" s="36">
        <f>'BS Forecast'!I21</f>
        <v>1563.4473729310489</v>
      </c>
      <c r="J6" s="36">
        <f>'BS Forecast'!J21</f>
        <v>1624.6067074952007</v>
      </c>
      <c r="K6" s="36">
        <f>'BS Forecast'!K21</f>
        <v>1688.2813434595728</v>
      </c>
    </row>
    <row r="7" spans="2:11" x14ac:dyDescent="0.3">
      <c r="B7" s="122" t="s">
        <v>197</v>
      </c>
      <c r="C7" s="122">
        <f>C4+C5-C6</f>
        <v>311.27999999999997</v>
      </c>
      <c r="D7" s="122">
        <f t="shared" ref="D7:K7" si="0">D4+D5-D6</f>
        <v>44.279999999999973</v>
      </c>
      <c r="E7" s="122">
        <f t="shared" si="0"/>
        <v>-90.650000000000091</v>
      </c>
      <c r="F7" s="138"/>
      <c r="G7" s="122">
        <f t="shared" si="0"/>
        <v>39.122649860159072</v>
      </c>
      <c r="H7" s="122">
        <f t="shared" si="0"/>
        <v>40.64629419439666</v>
      </c>
      <c r="I7" s="122">
        <f t="shared" si="0"/>
        <v>42.232947385012949</v>
      </c>
      <c r="J7" s="122">
        <f t="shared" si="0"/>
        <v>43.885026632111476</v>
      </c>
      <c r="K7" s="122">
        <f t="shared" si="0"/>
        <v>45.605050981509066</v>
      </c>
    </row>
    <row r="9" spans="2:11" x14ac:dyDescent="0.3">
      <c r="B9" s="1" t="s">
        <v>199</v>
      </c>
      <c r="C9" s="139">
        <f>(C5/'P&amp;L Forecast'!C10)*360</f>
        <v>6.6554269338470098</v>
      </c>
      <c r="D9" s="139">
        <f>(D5/'P&amp;L Forecast'!D10)*360</f>
        <v>6.3281227804010483</v>
      </c>
      <c r="E9" s="139">
        <f>(E5/'P&amp;L Forecast'!E10)*360</f>
        <v>7.6199409740921524</v>
      </c>
      <c r="G9" s="139">
        <f>(G5/'P&amp;L Forecast'!G10)*360</f>
        <v>7.6199409740921524</v>
      </c>
      <c r="H9" s="139">
        <f>(H5/'P&amp;L Forecast'!H10)*360</f>
        <v>7.6199409740921533</v>
      </c>
      <c r="I9" s="139">
        <f>(I5/'P&amp;L Forecast'!I10)*360</f>
        <v>7.6199409740921533</v>
      </c>
      <c r="J9" s="139">
        <f>(J5/'P&amp;L Forecast'!J10)*360</f>
        <v>7.6199409740921524</v>
      </c>
      <c r="K9" s="139">
        <f>(K5/'P&amp;L Forecast'!K10)*360</f>
        <v>7.6199409740921524</v>
      </c>
    </row>
    <row r="10" spans="2:11" x14ac:dyDescent="0.3">
      <c r="B10" s="1" t="s">
        <v>200</v>
      </c>
      <c r="C10" s="139">
        <f>-(C6/'P&amp;L Forecast'!C11)*360</f>
        <v>50.7229558175314</v>
      </c>
      <c r="D10" s="139">
        <f>-(D6/'P&amp;L Forecast'!D11)*360</f>
        <v>49.82915546493107</v>
      </c>
      <c r="E10" s="139">
        <f>-(E6/'P&amp;L Forecast'!E11)*360</f>
        <v>57.777263947917454</v>
      </c>
      <c r="G10" s="139">
        <f>-(G6/'P&amp;L Forecast'!G11)*360</f>
        <v>52.776458410126644</v>
      </c>
      <c r="H10" s="139">
        <f>-(H6/'P&amp;L Forecast'!H11)*360</f>
        <v>52.776458410126651</v>
      </c>
      <c r="I10" s="139">
        <f>-(I6/'P&amp;L Forecast'!I11)*360</f>
        <v>52.776458410126651</v>
      </c>
      <c r="J10" s="139">
        <f>-(J6/'P&amp;L Forecast'!J11)*360</f>
        <v>52.776458410126651</v>
      </c>
      <c r="K10" s="139">
        <f>-(K6/'P&amp;L Forecast'!K11)*360</f>
        <v>52.776458410126651</v>
      </c>
    </row>
    <row r="11" spans="2:11" x14ac:dyDescent="0.3">
      <c r="B11" s="1" t="s">
        <v>201</v>
      </c>
      <c r="C11" s="139">
        <f>-(C4/'P&amp;L Forecast'!C11)*360</f>
        <v>53.162241498107534</v>
      </c>
      <c r="D11" s="139">
        <f>-(D4/'P&amp;L Forecast'!D11)*360</f>
        <v>40.914611575632065</v>
      </c>
      <c r="E11" s="139">
        <f>-(E4/'P&amp;L Forecast'!E11)*360</f>
        <v>41.064264205657338</v>
      </c>
      <c r="G11" s="139">
        <f>-(G4/'P&amp;L Forecast'!G11)*360</f>
        <v>41.064264205657338</v>
      </c>
      <c r="H11" s="139">
        <f>-(H4/'P&amp;L Forecast'!H11)*360</f>
        <v>41.064264205657338</v>
      </c>
      <c r="I11" s="139">
        <f>-(I4/'P&amp;L Forecast'!I11)*360</f>
        <v>41.064264205657338</v>
      </c>
      <c r="J11" s="139">
        <f>-(J4/'P&amp;L Forecast'!J11)*360</f>
        <v>41.064264205657338</v>
      </c>
      <c r="K11" s="139">
        <f>-(K4/'P&amp;L Forecast'!K11)*360</f>
        <v>41.064264205657338</v>
      </c>
    </row>
  </sheetData>
  <phoneticPr fontId="7" type="noConversion"/>
  <pageMargins left="0.7" right="0.7" top="0.75" bottom="0.75" header="0.3" footer="0.3"/>
  <pageSetup scale="77"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9C4C-846D-48AE-868D-91BCAD2BE294}">
  <sheetPr codeName="Sheet18">
    <tabColor rgb="FFFFC000"/>
  </sheetPr>
  <dimension ref="A1"/>
  <sheetViews>
    <sheetView workbookViewId="0"/>
  </sheetViews>
  <sheetFormatPr defaultRowHeight="14.4" x14ac:dyDescent="0.3"/>
  <cols>
    <col min="1" max="16384" width="8.88671875" style="1"/>
  </cols>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EBC3-FC26-46A7-AFFC-F0CFA30F2784}">
  <sheetPr codeName="Sheet19"/>
  <dimension ref="A1:K60"/>
  <sheetViews>
    <sheetView zoomScale="86" zoomScaleNormal="100" workbookViewId="0"/>
  </sheetViews>
  <sheetFormatPr defaultRowHeight="14.4" x14ac:dyDescent="0.3"/>
  <cols>
    <col min="1" max="1" width="3.6640625" style="1" customWidth="1"/>
    <col min="2" max="2" width="65.88671875" style="1" customWidth="1"/>
    <col min="3" max="5" width="11.77734375" style="1" customWidth="1"/>
    <col min="6" max="6" width="2.5546875" style="1" customWidth="1"/>
    <col min="7" max="11" width="11.21875" style="1" customWidth="1"/>
    <col min="12" max="16384" width="8.88671875" style="1"/>
  </cols>
  <sheetData>
    <row r="1" spans="1:11" ht="15.6" x14ac:dyDescent="0.3">
      <c r="B1" s="332" t="s">
        <v>48</v>
      </c>
      <c r="C1" s="332"/>
      <c r="D1" s="5"/>
    </row>
    <row r="2" spans="1:11" x14ac:dyDescent="0.3">
      <c r="C2" s="322" t="s">
        <v>70</v>
      </c>
      <c r="D2" s="322"/>
      <c r="E2" s="322"/>
      <c r="G2" s="340"/>
      <c r="H2" s="340"/>
      <c r="I2" s="340"/>
      <c r="J2" s="340"/>
      <c r="K2" s="340"/>
    </row>
    <row r="3" spans="1:11" ht="15" thickBot="1" x14ac:dyDescent="0.35">
      <c r="B3" s="10" t="s">
        <v>80</v>
      </c>
      <c r="C3" s="11">
        <v>44651</v>
      </c>
      <c r="D3" s="11">
        <v>45016</v>
      </c>
      <c r="E3" s="12">
        <v>45382</v>
      </c>
      <c r="G3" s="31"/>
      <c r="H3" s="31"/>
      <c r="I3" s="31"/>
      <c r="J3" s="31"/>
      <c r="K3" s="31"/>
    </row>
    <row r="4" spans="1:11" x14ac:dyDescent="0.3">
      <c r="B4" s="16" t="s">
        <v>59</v>
      </c>
      <c r="C4" s="14">
        <v>13169.04</v>
      </c>
      <c r="D4" s="14">
        <v>15285.12</v>
      </c>
      <c r="E4" s="15">
        <v>15938.87</v>
      </c>
    </row>
    <row r="5" spans="1:11" x14ac:dyDescent="0.3">
      <c r="B5" s="16" t="s">
        <v>49</v>
      </c>
      <c r="C5" s="14">
        <v>202.58</v>
      </c>
      <c r="D5" s="14">
        <v>333.3</v>
      </c>
      <c r="E5" s="15">
        <v>247.21</v>
      </c>
    </row>
    <row r="6" spans="1:11" x14ac:dyDescent="0.3">
      <c r="B6" s="13" t="s">
        <v>55</v>
      </c>
      <c r="C6" s="21">
        <f t="shared" ref="C6:E6" si="0">SUM(C4:C5)</f>
        <v>13371.62</v>
      </c>
      <c r="D6" s="21">
        <f t="shared" si="0"/>
        <v>15618.42</v>
      </c>
      <c r="E6" s="21">
        <f t="shared" si="0"/>
        <v>16186.08</v>
      </c>
      <c r="F6" s="16"/>
    </row>
    <row r="7" spans="1:11" x14ac:dyDescent="0.3">
      <c r="B7" s="13" t="s">
        <v>56</v>
      </c>
      <c r="C7" s="14">
        <v>359.43</v>
      </c>
      <c r="D7" s="14">
        <v>220.59</v>
      </c>
      <c r="E7" s="15">
        <v>210.11</v>
      </c>
    </row>
    <row r="8" spans="1:11" x14ac:dyDescent="0.3">
      <c r="A8" s="1" t="s">
        <v>42</v>
      </c>
      <c r="B8" s="23" t="s">
        <v>74</v>
      </c>
      <c r="C8" s="7">
        <f t="shared" ref="C8:E8" si="1">C6+C7</f>
        <v>13731.050000000001</v>
      </c>
      <c r="D8" s="7">
        <f t="shared" si="1"/>
        <v>15839.01</v>
      </c>
      <c r="E8" s="7">
        <f t="shared" si="1"/>
        <v>16396.189999999999</v>
      </c>
      <c r="F8" s="16"/>
    </row>
    <row r="9" spans="1:11" x14ac:dyDescent="0.3">
      <c r="A9" s="1" t="s">
        <v>43</v>
      </c>
      <c r="B9" s="16" t="s">
        <v>60</v>
      </c>
      <c r="C9" s="34">
        <v>6366.31</v>
      </c>
      <c r="D9" s="14">
        <v>7084.09</v>
      </c>
      <c r="E9" s="15">
        <v>7394.74</v>
      </c>
    </row>
    <row r="10" spans="1:11" x14ac:dyDescent="0.3">
      <c r="A10" s="1" t="s">
        <v>57</v>
      </c>
      <c r="B10" s="16" t="s">
        <v>61</v>
      </c>
      <c r="C10" s="14">
        <v>2183.41</v>
      </c>
      <c r="D10" s="14">
        <v>2453.42</v>
      </c>
      <c r="E10" s="15">
        <v>2033.36</v>
      </c>
    </row>
    <row r="11" spans="1:11" x14ac:dyDescent="0.3">
      <c r="A11" s="1" t="s">
        <v>58</v>
      </c>
      <c r="B11" s="16" t="s">
        <v>62</v>
      </c>
      <c r="C11" s="35">
        <v>-73.959999999999994</v>
      </c>
      <c r="D11" s="24">
        <v>-82.13</v>
      </c>
      <c r="E11" s="15">
        <v>0.01</v>
      </c>
    </row>
    <row r="12" spans="1:11" x14ac:dyDescent="0.3">
      <c r="A12" s="1" t="s">
        <v>54</v>
      </c>
      <c r="B12" s="13" t="s">
        <v>96</v>
      </c>
      <c r="C12" s="21">
        <f>SUM(C9:C11)</f>
        <v>8475.760000000002</v>
      </c>
      <c r="D12" s="21">
        <f>SUM(D9:D11)</f>
        <v>9455.380000000001</v>
      </c>
      <c r="E12" s="21">
        <f>SUM(E9:E11)</f>
        <v>9428.11</v>
      </c>
      <c r="F12" s="16"/>
    </row>
    <row r="13" spans="1:11" x14ac:dyDescent="0.3">
      <c r="B13" s="13" t="s">
        <v>75</v>
      </c>
      <c r="C13" s="21">
        <f>C8-C12</f>
        <v>5255.2899999999991</v>
      </c>
      <c r="D13" s="21">
        <f>D8-D12</f>
        <v>6383.6299999999992</v>
      </c>
      <c r="E13" s="21">
        <f>E8-E12</f>
        <v>6968.0799999999981</v>
      </c>
      <c r="F13" s="16"/>
    </row>
    <row r="14" spans="1:11" x14ac:dyDescent="0.3">
      <c r="B14" s="16" t="s">
        <v>64</v>
      </c>
      <c r="C14" s="35">
        <v>-2393.14</v>
      </c>
      <c r="D14" s="24">
        <v>-2900.7</v>
      </c>
      <c r="E14" s="25">
        <v>-3121.87</v>
      </c>
    </row>
    <row r="15" spans="1:11" x14ac:dyDescent="0.3">
      <c r="B15" s="16" t="s">
        <v>50</v>
      </c>
      <c r="C15" s="35">
        <v>-413.56</v>
      </c>
      <c r="D15" s="24">
        <v>-520.54999999999995</v>
      </c>
      <c r="E15" s="25">
        <v>-565.28</v>
      </c>
    </row>
    <row r="16" spans="1:11" x14ac:dyDescent="0.3">
      <c r="B16" s="23" t="s">
        <v>71</v>
      </c>
      <c r="C16" s="7">
        <f>SUM(C13:C15)</f>
        <v>2448.5899999999992</v>
      </c>
      <c r="D16" s="7">
        <f>SUM(D13:D15)</f>
        <v>2962.3799999999992</v>
      </c>
      <c r="E16" s="19">
        <f>SUM(E13:E15)</f>
        <v>3280.9299999999985</v>
      </c>
      <c r="F16" s="16"/>
    </row>
    <row r="17" spans="1:7" x14ac:dyDescent="0.3">
      <c r="B17" s="16" t="s">
        <v>63</v>
      </c>
      <c r="C17" s="35">
        <v>-170.01</v>
      </c>
      <c r="D17" s="24">
        <v>-195.1</v>
      </c>
      <c r="E17" s="25">
        <v>-271.19</v>
      </c>
    </row>
    <row r="18" spans="1:7" x14ac:dyDescent="0.3">
      <c r="B18" s="16" t="s">
        <v>185</v>
      </c>
      <c r="C18" s="24">
        <v>-133.46</v>
      </c>
      <c r="D18" s="24">
        <v>-154.94999999999999</v>
      </c>
      <c r="E18" s="25">
        <v>-151.4</v>
      </c>
    </row>
    <row r="19" spans="1:7" x14ac:dyDescent="0.3">
      <c r="B19" s="13" t="s">
        <v>72</v>
      </c>
      <c r="C19" s="21">
        <f>SUM(C16:C18)</f>
        <v>2145.119999999999</v>
      </c>
      <c r="D19" s="21">
        <f>SUM(D16:D18)</f>
        <v>2612.3299999999995</v>
      </c>
      <c r="E19" s="22">
        <f>SUM(E16:E18)</f>
        <v>2858.3399999999983</v>
      </c>
    </row>
    <row r="20" spans="1:7" x14ac:dyDescent="0.3">
      <c r="B20" s="13" t="s">
        <v>97</v>
      </c>
      <c r="C20" s="14">
        <v>0</v>
      </c>
      <c r="D20" s="14">
        <v>227.74</v>
      </c>
      <c r="E20" s="25">
        <v>-2.9</v>
      </c>
    </row>
    <row r="21" spans="1:7" x14ac:dyDescent="0.3">
      <c r="B21" s="23" t="s">
        <v>68</v>
      </c>
      <c r="C21" s="7">
        <f>SUM(C19:C20)</f>
        <v>2145.119999999999</v>
      </c>
      <c r="D21" s="7">
        <f>SUM(D19:D20)</f>
        <v>2840.0699999999997</v>
      </c>
      <c r="E21" s="19">
        <f>SUM(E19:E20)</f>
        <v>2855.4399999999982</v>
      </c>
    </row>
    <row r="22" spans="1:7" x14ac:dyDescent="0.3">
      <c r="B22" s="13" t="s">
        <v>67</v>
      </c>
      <c r="C22" s="14"/>
      <c r="D22" s="14"/>
      <c r="E22" s="15"/>
    </row>
    <row r="23" spans="1:7" x14ac:dyDescent="0.3">
      <c r="B23" s="16" t="s">
        <v>51</v>
      </c>
      <c r="C23" s="34">
        <v>590.36</v>
      </c>
      <c r="D23" s="14">
        <v>708.5</v>
      </c>
      <c r="E23" s="15">
        <v>760.7</v>
      </c>
    </row>
    <row r="24" spans="1:7" x14ac:dyDescent="0.3">
      <c r="B24" s="16" t="s">
        <v>52</v>
      </c>
      <c r="C24" s="24">
        <v>-48.43</v>
      </c>
      <c r="D24" s="24">
        <v>-7.73</v>
      </c>
      <c r="E24" s="15">
        <v>12.69</v>
      </c>
    </row>
    <row r="25" spans="1:7" x14ac:dyDescent="0.3">
      <c r="B25" s="16"/>
      <c r="C25" s="21">
        <f>SUM(C23:C24)</f>
        <v>541.93000000000006</v>
      </c>
      <c r="D25" s="21">
        <f>SUM(D23:D24)</f>
        <v>700.77</v>
      </c>
      <c r="E25" s="21">
        <f t="shared" ref="E25" si="2">SUM(E23:E24)</f>
        <v>773.3900000000001</v>
      </c>
      <c r="F25" s="16"/>
    </row>
    <row r="26" spans="1:7" x14ac:dyDescent="0.3">
      <c r="A26" s="1" t="s">
        <v>65</v>
      </c>
      <c r="B26" s="23" t="s">
        <v>73</v>
      </c>
      <c r="C26" s="7">
        <f>C21-C25</f>
        <v>1603.1899999999989</v>
      </c>
      <c r="D26" s="7">
        <f>D21-D25</f>
        <v>2139.2999999999997</v>
      </c>
      <c r="E26" s="19">
        <f>E21-E25</f>
        <v>2082.0499999999984</v>
      </c>
    </row>
    <row r="27" spans="1:7" x14ac:dyDescent="0.3">
      <c r="A27" s="1" t="s">
        <v>66</v>
      </c>
      <c r="B27" s="13" t="s">
        <v>53</v>
      </c>
      <c r="C27" s="21">
        <v>0.49</v>
      </c>
      <c r="D27" s="21">
        <v>0.22</v>
      </c>
      <c r="E27" s="21">
        <v>-1.43</v>
      </c>
      <c r="F27" s="16"/>
    </row>
    <row r="28" spans="1:7" x14ac:dyDescent="0.3">
      <c r="B28" s="23" t="s">
        <v>76</v>
      </c>
      <c r="C28" s="7">
        <f>C26+C27</f>
        <v>1603.6799999999989</v>
      </c>
      <c r="D28" s="7">
        <f>D26+D27</f>
        <v>2139.5199999999995</v>
      </c>
      <c r="E28" s="19">
        <f>E26+E27</f>
        <v>2080.6199999999985</v>
      </c>
      <c r="G28" s="31"/>
    </row>
    <row r="30" spans="1:7" x14ac:dyDescent="0.3">
      <c r="B30" s="37" t="s">
        <v>83</v>
      </c>
      <c r="C30" s="38"/>
      <c r="D30" s="38"/>
      <c r="E30" s="38"/>
      <c r="G30" s="26"/>
    </row>
    <row r="31" spans="1:7" x14ac:dyDescent="0.3">
      <c r="B31" s="38" t="s">
        <v>81</v>
      </c>
      <c r="C31" s="38">
        <v>24.08</v>
      </c>
      <c r="D31" s="38">
        <v>24.08</v>
      </c>
      <c r="E31" s="38">
        <v>24.08</v>
      </c>
      <c r="G31" s="26"/>
    </row>
    <row r="32" spans="1:7" x14ac:dyDescent="0.3">
      <c r="B32" s="38" t="s">
        <v>82</v>
      </c>
      <c r="C32" s="38">
        <v>24.08</v>
      </c>
      <c r="D32" s="38">
        <v>24.08</v>
      </c>
      <c r="E32" s="38">
        <v>24.08</v>
      </c>
      <c r="G32" s="26"/>
    </row>
    <row r="33" spans="2:7" x14ac:dyDescent="0.3">
      <c r="B33" s="38"/>
      <c r="C33" s="38"/>
      <c r="D33" s="38"/>
      <c r="E33" s="38"/>
      <c r="G33" s="32"/>
    </row>
    <row r="34" spans="2:7" x14ac:dyDescent="0.3">
      <c r="B34" s="37" t="s">
        <v>86</v>
      </c>
      <c r="C34" s="38"/>
      <c r="D34" s="38"/>
      <c r="E34" s="38"/>
      <c r="G34" s="26"/>
    </row>
    <row r="35" spans="2:7" x14ac:dyDescent="0.3">
      <c r="B35" s="38" t="s">
        <v>84</v>
      </c>
      <c r="C35" s="39">
        <f>C$28/C31</f>
        <v>66.598006644518236</v>
      </c>
      <c r="D35" s="39">
        <f t="shared" ref="D35:E36" si="3">D$28/D31</f>
        <v>88.850498338870423</v>
      </c>
      <c r="E35" s="39">
        <f t="shared" si="3"/>
        <v>86.404485049833838</v>
      </c>
      <c r="G35" s="26"/>
    </row>
    <row r="36" spans="2:7" x14ac:dyDescent="0.3">
      <c r="B36" s="38" t="s">
        <v>85</v>
      </c>
      <c r="C36" s="39">
        <f>C$28/C32</f>
        <v>66.598006644518236</v>
      </c>
      <c r="D36" s="39">
        <f t="shared" si="3"/>
        <v>88.850498338870423</v>
      </c>
      <c r="E36" s="39">
        <f t="shared" si="3"/>
        <v>86.404485049833838</v>
      </c>
      <c r="G36" s="28"/>
    </row>
    <row r="37" spans="2:7" x14ac:dyDescent="0.3">
      <c r="G37" s="4"/>
    </row>
    <row r="38" spans="2:7" x14ac:dyDescent="0.3">
      <c r="G38" s="4"/>
    </row>
    <row r="39" spans="2:7" x14ac:dyDescent="0.3">
      <c r="G39" s="28"/>
    </row>
    <row r="40" spans="2:7" x14ac:dyDescent="0.3">
      <c r="G40" s="28"/>
    </row>
    <row r="41" spans="2:7" x14ac:dyDescent="0.3">
      <c r="G41" s="32"/>
    </row>
    <row r="42" spans="2:7" x14ac:dyDescent="0.3">
      <c r="G42" s="28"/>
    </row>
    <row r="43" spans="2:7" x14ac:dyDescent="0.3">
      <c r="G43" s="28"/>
    </row>
    <row r="44" spans="2:7" x14ac:dyDescent="0.3">
      <c r="G44" s="4"/>
    </row>
    <row r="45" spans="2:7" x14ac:dyDescent="0.3">
      <c r="G45" s="26"/>
    </row>
    <row r="46" spans="2:7" x14ac:dyDescent="0.3">
      <c r="G46" s="32"/>
    </row>
    <row r="47" spans="2:7" x14ac:dyDescent="0.3">
      <c r="G47" s="26"/>
    </row>
    <row r="48" spans="2:7" x14ac:dyDescent="0.3">
      <c r="G48" s="26"/>
    </row>
    <row r="49" spans="7:7" x14ac:dyDescent="0.3">
      <c r="G49" s="28"/>
    </row>
    <row r="50" spans="7:7" x14ac:dyDescent="0.3">
      <c r="G50" s="4"/>
    </row>
    <row r="51" spans="7:7" x14ac:dyDescent="0.3">
      <c r="G51" s="32"/>
    </row>
    <row r="52" spans="7:7" x14ac:dyDescent="0.3">
      <c r="G52" s="26"/>
    </row>
    <row r="53" spans="7:7" x14ac:dyDescent="0.3">
      <c r="G53" s="26"/>
    </row>
    <row r="54" spans="7:7" x14ac:dyDescent="0.3">
      <c r="G54" s="28"/>
    </row>
    <row r="55" spans="7:7" x14ac:dyDescent="0.3">
      <c r="G55" s="4"/>
    </row>
    <row r="56" spans="7:7" x14ac:dyDescent="0.3">
      <c r="G56" s="32"/>
    </row>
    <row r="58" spans="7:7" x14ac:dyDescent="0.3">
      <c r="G58" s="33"/>
    </row>
    <row r="59" spans="7:7" x14ac:dyDescent="0.3">
      <c r="G59" s="33"/>
    </row>
    <row r="60" spans="7:7" x14ac:dyDescent="0.3">
      <c r="G60" s="33"/>
    </row>
  </sheetData>
  <mergeCells count="3">
    <mergeCell ref="B1:C1"/>
    <mergeCell ref="G2:K2"/>
    <mergeCell ref="C2:E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E01C-9926-4A81-8F54-16359D313EF8}">
  <sheetPr codeName="Sheet20"/>
  <dimension ref="A1:K56"/>
  <sheetViews>
    <sheetView zoomScale="85" zoomScaleNormal="100" workbookViewId="0"/>
  </sheetViews>
  <sheetFormatPr defaultRowHeight="14.4" x14ac:dyDescent="0.3"/>
  <cols>
    <col min="1" max="1" width="2.88671875" style="1" customWidth="1"/>
    <col min="2" max="2" width="73.33203125" style="1" customWidth="1"/>
    <col min="3" max="5" width="12" style="1" customWidth="1"/>
    <col min="6" max="6" width="1.77734375" style="1" customWidth="1"/>
    <col min="7" max="11" width="11" style="1" customWidth="1"/>
    <col min="12" max="16384" width="8.88671875" style="1"/>
  </cols>
  <sheetData>
    <row r="1" spans="1:11" ht="15.6" x14ac:dyDescent="0.3">
      <c r="B1" s="5" t="s">
        <v>5</v>
      </c>
      <c r="C1" s="2"/>
      <c r="D1" s="2"/>
    </row>
    <row r="2" spans="1:11" x14ac:dyDescent="0.3">
      <c r="C2" s="322" t="s">
        <v>70</v>
      </c>
      <c r="D2" s="322"/>
      <c r="E2" s="322"/>
      <c r="G2" s="340"/>
      <c r="H2" s="340"/>
      <c r="I2" s="340"/>
      <c r="J2" s="340"/>
      <c r="K2" s="340"/>
    </row>
    <row r="3" spans="1:11" ht="15" thickBot="1" x14ac:dyDescent="0.35">
      <c r="B3" s="10" t="s">
        <v>80</v>
      </c>
      <c r="C3" s="11">
        <v>44651</v>
      </c>
      <c r="D3" s="11">
        <v>45016</v>
      </c>
      <c r="E3" s="12">
        <v>45382</v>
      </c>
      <c r="G3" s="31"/>
      <c r="H3" s="31"/>
      <c r="I3" s="31"/>
      <c r="J3" s="31"/>
      <c r="K3" s="31"/>
    </row>
    <row r="4" spans="1:11" x14ac:dyDescent="0.3">
      <c r="A4" s="1" t="s">
        <v>42</v>
      </c>
      <c r="B4" s="13" t="s">
        <v>19</v>
      </c>
      <c r="C4" s="14"/>
      <c r="D4" s="14"/>
      <c r="E4" s="15"/>
    </row>
    <row r="5" spans="1:11" x14ac:dyDescent="0.3">
      <c r="B5" s="16" t="s">
        <v>44</v>
      </c>
      <c r="C5" s="14"/>
      <c r="D5" s="14"/>
      <c r="E5" s="15"/>
    </row>
    <row r="6" spans="1:11" x14ac:dyDescent="0.3">
      <c r="B6" s="16" t="s">
        <v>4</v>
      </c>
      <c r="C6" s="14">
        <v>1327.41</v>
      </c>
      <c r="D6" s="14">
        <v>2220.21</v>
      </c>
      <c r="E6" s="15">
        <v>2365.04</v>
      </c>
      <c r="F6" s="16"/>
    </row>
    <row r="7" spans="1:11" x14ac:dyDescent="0.3">
      <c r="B7" s="16" t="s">
        <v>20</v>
      </c>
      <c r="C7" s="14">
        <v>535.27</v>
      </c>
      <c r="D7" s="14">
        <v>104.47</v>
      </c>
      <c r="E7" s="15">
        <v>187.48</v>
      </c>
    </row>
    <row r="8" spans="1:11" x14ac:dyDescent="0.3">
      <c r="B8" s="16" t="s">
        <v>21</v>
      </c>
      <c r="C8" s="14">
        <v>34.42</v>
      </c>
      <c r="D8" s="14">
        <v>60.5</v>
      </c>
      <c r="E8" s="15">
        <v>46.75</v>
      </c>
    </row>
    <row r="9" spans="1:11" x14ac:dyDescent="0.3">
      <c r="B9" s="16" t="s">
        <v>207</v>
      </c>
      <c r="C9" s="14">
        <v>15.6</v>
      </c>
      <c r="D9" s="14">
        <v>12.75</v>
      </c>
      <c r="E9" s="15">
        <v>9.3800000000000008</v>
      </c>
    </row>
    <row r="10" spans="1:11" x14ac:dyDescent="0.3">
      <c r="B10" s="16" t="s">
        <v>208</v>
      </c>
      <c r="C10" s="21">
        <f>SUM(C11:C13)</f>
        <v>1334.74</v>
      </c>
      <c r="D10" s="21">
        <f>SUM(D11:D13)</f>
        <v>1688.14</v>
      </c>
      <c r="E10" s="21">
        <f>SUM(E11:E13)</f>
        <v>1093.29</v>
      </c>
      <c r="F10" s="16"/>
    </row>
    <row r="11" spans="1:11" x14ac:dyDescent="0.3">
      <c r="B11" s="16" t="s">
        <v>112</v>
      </c>
      <c r="C11" s="14">
        <v>1221.6099999999999</v>
      </c>
      <c r="D11" s="14">
        <v>1525.18</v>
      </c>
      <c r="E11" s="15">
        <v>1080.04</v>
      </c>
    </row>
    <row r="12" spans="1:11" x14ac:dyDescent="0.3">
      <c r="B12" s="16" t="s">
        <v>113</v>
      </c>
      <c r="C12" s="14">
        <v>100</v>
      </c>
      <c r="D12" s="14">
        <v>150</v>
      </c>
      <c r="E12" s="15">
        <v>0</v>
      </c>
    </row>
    <row r="13" spans="1:11" x14ac:dyDescent="0.3">
      <c r="B13" s="16" t="s">
        <v>114</v>
      </c>
      <c r="C13" s="14">
        <v>13.13</v>
      </c>
      <c r="D13" s="14">
        <v>12.96</v>
      </c>
      <c r="E13" s="15">
        <v>13.25</v>
      </c>
    </row>
    <row r="14" spans="1:11" x14ac:dyDescent="0.3">
      <c r="B14" s="16" t="s">
        <v>6</v>
      </c>
      <c r="C14" s="14">
        <v>40.58</v>
      </c>
      <c r="D14" s="14">
        <v>48.31</v>
      </c>
      <c r="E14" s="15">
        <v>35.619999999999997</v>
      </c>
    </row>
    <row r="15" spans="1:11" x14ac:dyDescent="0.3">
      <c r="B15" s="16" t="s">
        <v>22</v>
      </c>
      <c r="C15" s="14">
        <v>27.54</v>
      </c>
      <c r="D15" s="14">
        <v>39.630000000000003</v>
      </c>
      <c r="E15" s="15">
        <v>60.03</v>
      </c>
    </row>
    <row r="16" spans="1:11" x14ac:dyDescent="0.3">
      <c r="B16" s="16" t="s">
        <v>23</v>
      </c>
      <c r="C16" s="14">
        <v>94.33</v>
      </c>
      <c r="D16" s="14">
        <v>43.75</v>
      </c>
      <c r="E16" s="15">
        <v>53.54</v>
      </c>
    </row>
    <row r="17" spans="1:7" x14ac:dyDescent="0.3">
      <c r="B17" s="17" t="s">
        <v>7</v>
      </c>
      <c r="C17" s="6">
        <f>SUM(C6:C10,C14:C16)</f>
        <v>3409.89</v>
      </c>
      <c r="D17" s="6">
        <f>SUM(D6:D10,D14:D16)</f>
        <v>4217.76</v>
      </c>
      <c r="E17" s="6">
        <f>SUM(E6:E10,E14:E16)</f>
        <v>3851.13</v>
      </c>
      <c r="F17" s="16"/>
      <c r="G17" s="4"/>
    </row>
    <row r="18" spans="1:7" x14ac:dyDescent="0.3">
      <c r="B18" s="16" t="s">
        <v>45</v>
      </c>
      <c r="C18" s="14"/>
      <c r="D18" s="14"/>
      <c r="E18" s="15"/>
    </row>
    <row r="19" spans="1:7" x14ac:dyDescent="0.3">
      <c r="B19" s="16" t="s">
        <v>24</v>
      </c>
      <c r="C19" s="14">
        <v>1251.6400000000001</v>
      </c>
      <c r="D19" s="14">
        <v>1074.6199999999999</v>
      </c>
      <c r="E19" s="15">
        <v>1075.44</v>
      </c>
    </row>
    <row r="20" spans="1:7" x14ac:dyDescent="0.3">
      <c r="B20" s="16" t="s">
        <v>0</v>
      </c>
      <c r="C20" s="21">
        <f>C21+C24+C25+C26</f>
        <v>1969.19</v>
      </c>
      <c r="D20" s="21">
        <f t="shared" ref="D20:E20" si="0">D21+D24+D25+D26</f>
        <v>2863.13</v>
      </c>
      <c r="E20" s="21">
        <f t="shared" si="0"/>
        <v>2728.91</v>
      </c>
      <c r="F20" s="16"/>
    </row>
    <row r="21" spans="1:7" x14ac:dyDescent="0.3">
      <c r="B21" s="16" t="s">
        <v>25</v>
      </c>
      <c r="C21" s="14">
        <v>802.5</v>
      </c>
      <c r="D21" s="14">
        <v>1798.47</v>
      </c>
      <c r="E21" s="15">
        <v>1690.68</v>
      </c>
    </row>
    <row r="22" spans="1:7" x14ac:dyDescent="0.3">
      <c r="B22" s="16" t="s">
        <v>26</v>
      </c>
      <c r="C22" s="14">
        <v>253.85</v>
      </c>
      <c r="D22" s="14">
        <v>278.42</v>
      </c>
      <c r="E22" s="15">
        <v>347.05</v>
      </c>
    </row>
    <row r="23" spans="1:7" x14ac:dyDescent="0.3">
      <c r="B23" s="16" t="s">
        <v>27</v>
      </c>
      <c r="C23" s="14">
        <v>9.9700000000000006</v>
      </c>
      <c r="D23" s="14">
        <v>9.09</v>
      </c>
      <c r="E23" s="15">
        <v>240.85</v>
      </c>
    </row>
    <row r="24" spans="1:7" x14ac:dyDescent="0.3">
      <c r="B24" s="16" t="s">
        <v>14</v>
      </c>
      <c r="C24" s="14">
        <v>42.32</v>
      </c>
      <c r="D24" s="14">
        <v>54.76</v>
      </c>
      <c r="E24" s="15">
        <v>56.65</v>
      </c>
    </row>
    <row r="25" spans="1:7" x14ac:dyDescent="0.3">
      <c r="B25" s="16" t="s">
        <v>28</v>
      </c>
      <c r="C25" s="14">
        <v>698</v>
      </c>
      <c r="D25" s="14">
        <v>560</v>
      </c>
      <c r="E25" s="15">
        <v>460</v>
      </c>
    </row>
    <row r="26" spans="1:7" x14ac:dyDescent="0.3">
      <c r="B26" s="16" t="s">
        <v>29</v>
      </c>
      <c r="C26" s="14">
        <v>426.37</v>
      </c>
      <c r="D26" s="14">
        <v>449.9</v>
      </c>
      <c r="E26" s="15">
        <v>521.58000000000004</v>
      </c>
    </row>
    <row r="27" spans="1:7" x14ac:dyDescent="0.3">
      <c r="B27" s="16" t="s">
        <v>30</v>
      </c>
      <c r="C27" s="14">
        <v>120.29</v>
      </c>
      <c r="D27" s="239">
        <v>163.08000000000001</v>
      </c>
      <c r="E27" s="15">
        <v>121.05</v>
      </c>
    </row>
    <row r="28" spans="1:7" x14ac:dyDescent="0.3">
      <c r="B28" s="16" t="s">
        <v>31</v>
      </c>
      <c r="C28" s="14">
        <v>0</v>
      </c>
      <c r="D28" s="14">
        <v>32.36</v>
      </c>
      <c r="E28" s="15">
        <v>6.41</v>
      </c>
    </row>
    <row r="29" spans="1:7" x14ac:dyDescent="0.3">
      <c r="B29" s="17" t="s">
        <v>18</v>
      </c>
      <c r="C29" s="6">
        <f>SUM(C21:C28,C19)</f>
        <v>3604.9399999999996</v>
      </c>
      <c r="D29" s="6">
        <f t="shared" ref="D29:E29" si="1">SUM(D21:D28,D19)</f>
        <v>4420.7000000000007</v>
      </c>
      <c r="E29" s="118">
        <f t="shared" si="1"/>
        <v>4519.71</v>
      </c>
    </row>
    <row r="30" spans="1:7" x14ac:dyDescent="0.3">
      <c r="B30" s="18" t="s">
        <v>17</v>
      </c>
      <c r="C30" s="7">
        <f>C29+C17</f>
        <v>7014.83</v>
      </c>
      <c r="D30" s="7">
        <f>D29+D17</f>
        <v>8638.4600000000009</v>
      </c>
      <c r="E30" s="7">
        <f>E29+E17</f>
        <v>8370.84</v>
      </c>
      <c r="F30" s="16"/>
    </row>
    <row r="31" spans="1:7" x14ac:dyDescent="0.3">
      <c r="A31" s="1" t="s">
        <v>43</v>
      </c>
      <c r="B31" s="13" t="s">
        <v>41</v>
      </c>
      <c r="C31" s="14"/>
      <c r="D31" s="14"/>
      <c r="E31" s="15"/>
    </row>
    <row r="32" spans="1:7" x14ac:dyDescent="0.3">
      <c r="B32" s="16" t="s">
        <v>46</v>
      </c>
      <c r="C32" s="14"/>
      <c r="D32" s="14"/>
      <c r="E32" s="15"/>
    </row>
    <row r="33" spans="2:6" x14ac:dyDescent="0.3">
      <c r="B33" s="16" t="s">
        <v>32</v>
      </c>
      <c r="C33" s="14">
        <v>24.09</v>
      </c>
      <c r="D33" s="14">
        <v>24.09</v>
      </c>
      <c r="E33" s="15">
        <v>24.09</v>
      </c>
    </row>
    <row r="34" spans="2:6" x14ac:dyDescent="0.3">
      <c r="B34" s="16" t="s">
        <v>33</v>
      </c>
      <c r="C34" s="14">
        <v>2378.4499999999998</v>
      </c>
      <c r="D34" s="14">
        <v>3157.06</v>
      </c>
      <c r="E34" s="15">
        <v>3503.43</v>
      </c>
    </row>
    <row r="35" spans="2:6" x14ac:dyDescent="0.3">
      <c r="B35" s="116" t="s">
        <v>16</v>
      </c>
      <c r="C35" s="117">
        <f>C34+C33</f>
        <v>2402.54</v>
      </c>
      <c r="D35" s="117">
        <f t="shared" ref="D35:E35" si="2">D34+D33</f>
        <v>3181.15</v>
      </c>
      <c r="E35" s="117">
        <f t="shared" si="2"/>
        <v>3527.52</v>
      </c>
      <c r="F35" s="16"/>
    </row>
    <row r="36" spans="2:6" x14ac:dyDescent="0.3">
      <c r="B36" s="16" t="s">
        <v>47</v>
      </c>
      <c r="C36" s="14"/>
      <c r="D36" s="14"/>
      <c r="E36" s="15"/>
    </row>
    <row r="37" spans="2:6" x14ac:dyDescent="0.3">
      <c r="B37" s="16" t="s">
        <v>1</v>
      </c>
      <c r="C37" s="14"/>
      <c r="D37" s="14"/>
      <c r="E37" s="15"/>
    </row>
    <row r="38" spans="2:6" x14ac:dyDescent="0.3">
      <c r="B38" s="16" t="s">
        <v>2</v>
      </c>
      <c r="C38" s="14"/>
      <c r="D38" s="14"/>
      <c r="E38" s="15"/>
    </row>
    <row r="39" spans="2:6" x14ac:dyDescent="0.3">
      <c r="B39" s="16" t="s">
        <v>13</v>
      </c>
      <c r="C39" s="14">
        <v>698.52</v>
      </c>
      <c r="D39" s="14">
        <v>1551.02</v>
      </c>
      <c r="E39" s="15">
        <v>904.17</v>
      </c>
    </row>
    <row r="40" spans="2:6" x14ac:dyDescent="0.3">
      <c r="B40" s="16" t="s">
        <v>12</v>
      </c>
      <c r="C40" s="14">
        <v>0.03</v>
      </c>
      <c r="D40" s="14">
        <v>0.76</v>
      </c>
      <c r="E40" s="15">
        <v>0.5</v>
      </c>
    </row>
    <row r="41" spans="2:6" x14ac:dyDescent="0.3">
      <c r="B41" s="16" t="s">
        <v>34</v>
      </c>
      <c r="C41" s="14">
        <v>52.39</v>
      </c>
      <c r="D41" s="14">
        <v>60.15</v>
      </c>
      <c r="E41" s="15">
        <v>65.569999999999993</v>
      </c>
    </row>
    <row r="42" spans="2:6" x14ac:dyDescent="0.3">
      <c r="B42" s="17" t="s">
        <v>15</v>
      </c>
      <c r="C42" s="6">
        <f>SUM(C39:C41)</f>
        <v>750.93999999999994</v>
      </c>
      <c r="D42" s="6">
        <f>SUM(D39:D41)</f>
        <v>1611.93</v>
      </c>
      <c r="E42" s="165">
        <f>SUM(E39:E41)</f>
        <v>970.24</v>
      </c>
    </row>
    <row r="43" spans="2:6" x14ac:dyDescent="0.3">
      <c r="B43" s="16" t="s">
        <v>3</v>
      </c>
      <c r="C43" s="14"/>
      <c r="D43" s="14"/>
      <c r="E43" s="15"/>
    </row>
    <row r="44" spans="2:6" x14ac:dyDescent="0.3">
      <c r="B44" s="16" t="s">
        <v>2</v>
      </c>
      <c r="C44" s="14"/>
      <c r="D44" s="14"/>
      <c r="E44" s="15"/>
    </row>
    <row r="45" spans="2:6" x14ac:dyDescent="0.3">
      <c r="B45" s="16" t="s">
        <v>13</v>
      </c>
      <c r="C45" s="14">
        <v>1479.62</v>
      </c>
      <c r="D45" s="14">
        <v>1110.76</v>
      </c>
      <c r="E45" s="15">
        <v>1132.97</v>
      </c>
    </row>
    <row r="46" spans="2:6" x14ac:dyDescent="0.3">
      <c r="B46" s="16" t="s">
        <v>12</v>
      </c>
      <c r="C46" s="14">
        <v>0.56999999999999995</v>
      </c>
      <c r="D46" s="14">
        <v>1.17</v>
      </c>
      <c r="E46" s="15">
        <v>2</v>
      </c>
    </row>
    <row r="47" spans="2:6" x14ac:dyDescent="0.3">
      <c r="B47" s="16" t="s">
        <v>35</v>
      </c>
      <c r="C47" s="14"/>
      <c r="D47" s="14"/>
      <c r="E47" s="15"/>
    </row>
    <row r="48" spans="2:6" x14ac:dyDescent="0.3">
      <c r="B48" s="16" t="s">
        <v>36</v>
      </c>
      <c r="C48" s="14">
        <v>62.49</v>
      </c>
      <c r="D48" s="14">
        <v>43.92</v>
      </c>
      <c r="E48" s="15">
        <v>30.67</v>
      </c>
    </row>
    <row r="49" spans="2:6" x14ac:dyDescent="0.3">
      <c r="B49" s="16" t="s">
        <v>8</v>
      </c>
      <c r="C49" s="14">
        <v>1131.72</v>
      </c>
      <c r="D49" s="14">
        <v>1264.8399999999999</v>
      </c>
      <c r="E49" s="15">
        <v>1482.47</v>
      </c>
    </row>
    <row r="50" spans="2:6" x14ac:dyDescent="0.3">
      <c r="B50" s="16" t="s">
        <v>37</v>
      </c>
      <c r="C50" s="14">
        <v>558.12</v>
      </c>
      <c r="D50" s="14">
        <v>692.63</v>
      </c>
      <c r="E50" s="15">
        <v>437.14</v>
      </c>
    </row>
    <row r="51" spans="2:6" x14ac:dyDescent="0.3">
      <c r="B51" s="16" t="s">
        <v>38</v>
      </c>
      <c r="C51" s="14">
        <v>118.11</v>
      </c>
      <c r="D51" s="14">
        <v>157.38999999999999</v>
      </c>
      <c r="E51" s="15">
        <v>148.41</v>
      </c>
    </row>
    <row r="52" spans="2:6" x14ac:dyDescent="0.3">
      <c r="B52" s="16" t="s">
        <v>39</v>
      </c>
      <c r="C52" s="14">
        <v>451.16</v>
      </c>
      <c r="D52" s="14">
        <v>508.86</v>
      </c>
      <c r="E52" s="15">
        <v>551.19000000000005</v>
      </c>
    </row>
    <row r="53" spans="2:6" x14ac:dyDescent="0.3">
      <c r="B53" s="16" t="s">
        <v>40</v>
      </c>
      <c r="C53" s="14">
        <v>59.56</v>
      </c>
      <c r="D53" s="14">
        <v>65.81</v>
      </c>
      <c r="E53" s="15">
        <v>88.23</v>
      </c>
    </row>
    <row r="54" spans="2:6" x14ac:dyDescent="0.3">
      <c r="B54" s="17" t="s">
        <v>9</v>
      </c>
      <c r="C54" s="6">
        <f>SUM(C45:C53)</f>
        <v>3861.3499999999995</v>
      </c>
      <c r="D54" s="6">
        <f>SUM(D45:D53)</f>
        <v>3845.38</v>
      </c>
      <c r="E54" s="118">
        <f>SUM(E45:E53)</f>
        <v>3873.08</v>
      </c>
    </row>
    <row r="55" spans="2:6" x14ac:dyDescent="0.3">
      <c r="B55" s="20" t="s">
        <v>10</v>
      </c>
      <c r="C55" s="9">
        <f>C54+C42</f>
        <v>4612.2899999999991</v>
      </c>
      <c r="D55" s="9">
        <f>D54+D42</f>
        <v>5457.31</v>
      </c>
      <c r="E55" s="9">
        <f>E54+E42</f>
        <v>4843.32</v>
      </c>
      <c r="F55" s="16"/>
    </row>
    <row r="56" spans="2:6" x14ac:dyDescent="0.3">
      <c r="B56" s="18" t="s">
        <v>11</v>
      </c>
      <c r="C56" s="7">
        <f>C55+C35</f>
        <v>7014.829999999999</v>
      </c>
      <c r="D56" s="7">
        <f>D55+D35</f>
        <v>8638.4600000000009</v>
      </c>
      <c r="E56" s="19">
        <f>E55+E35</f>
        <v>8370.84</v>
      </c>
    </row>
  </sheetData>
  <mergeCells count="2">
    <mergeCell ref="G2:K2"/>
    <mergeCell ref="C2:E2"/>
  </mergeCells>
  <phoneticPr fontId="7"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B695-7227-405F-B04B-325AC214A78A}">
  <dimension ref="B1:F13"/>
  <sheetViews>
    <sheetView workbookViewId="0"/>
  </sheetViews>
  <sheetFormatPr defaultRowHeight="14.4" x14ac:dyDescent="0.3"/>
  <cols>
    <col min="1" max="1" width="1.88671875" style="1" customWidth="1"/>
    <col min="2" max="2" width="30.33203125" style="1" customWidth="1"/>
    <col min="3" max="5" width="10.77734375" style="1" customWidth="1"/>
    <col min="6" max="16384" width="8.88671875" style="1"/>
  </cols>
  <sheetData>
    <row r="1" spans="2:6" ht="15.6" x14ac:dyDescent="0.3">
      <c r="B1" s="133" t="s">
        <v>321</v>
      </c>
      <c r="C1" s="129"/>
    </row>
    <row r="3" spans="2:6" x14ac:dyDescent="0.3">
      <c r="B3" s="191" t="s">
        <v>196</v>
      </c>
      <c r="C3" s="246">
        <v>2022</v>
      </c>
      <c r="D3" s="246">
        <v>2023</v>
      </c>
      <c r="E3" s="247">
        <v>2024</v>
      </c>
    </row>
    <row r="4" spans="2:6" x14ac:dyDescent="0.3">
      <c r="B4" s="13" t="s">
        <v>324</v>
      </c>
      <c r="C4" s="163">
        <v>1206</v>
      </c>
      <c r="D4" s="163">
        <v>2442</v>
      </c>
      <c r="E4" s="175">
        <v>2234</v>
      </c>
    </row>
    <row r="5" spans="2:6" x14ac:dyDescent="0.3">
      <c r="B5" s="13" t="s">
        <v>322</v>
      </c>
      <c r="C5" s="248">
        <v>931</v>
      </c>
      <c r="D5" s="163">
        <v>-1386</v>
      </c>
      <c r="E5" s="249">
        <v>507</v>
      </c>
    </row>
    <row r="6" spans="2:6" x14ac:dyDescent="0.3">
      <c r="B6" s="13" t="s">
        <v>323</v>
      </c>
      <c r="C6" s="163">
        <v>-2212</v>
      </c>
      <c r="D6" s="163">
        <v>-1048</v>
      </c>
      <c r="E6" s="175">
        <v>-2509</v>
      </c>
    </row>
    <row r="7" spans="2:6" x14ac:dyDescent="0.3">
      <c r="B7" s="13" t="s">
        <v>326</v>
      </c>
      <c r="C7" s="250">
        <f>SUM(C4:C6)</f>
        <v>-75</v>
      </c>
      <c r="D7" s="250">
        <f t="shared" ref="D7:E7" si="0">SUM(D4:D6)</f>
        <v>8</v>
      </c>
      <c r="E7" s="251">
        <f t="shared" si="0"/>
        <v>232</v>
      </c>
    </row>
    <row r="8" spans="2:6" x14ac:dyDescent="0.3">
      <c r="B8" s="252" t="s">
        <v>325</v>
      </c>
      <c r="C8" s="253">
        <v>9.9700000000000006</v>
      </c>
      <c r="D8" s="253">
        <v>9.09</v>
      </c>
      <c r="E8" s="254">
        <v>240.85</v>
      </c>
    </row>
    <row r="13" spans="2:6" x14ac:dyDescent="0.3">
      <c r="F13" s="24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2B3B2-112A-4058-9A26-0B1D54802C41}">
  <sheetPr>
    <tabColor theme="0"/>
  </sheetPr>
  <dimension ref="A1:B26"/>
  <sheetViews>
    <sheetView tabSelected="1" workbookViewId="0">
      <selection activeCell="C1" sqref="C1"/>
    </sheetView>
  </sheetViews>
  <sheetFormatPr defaultRowHeight="14.4" x14ac:dyDescent="0.3"/>
  <cols>
    <col min="1" max="1" width="21.77734375" style="1" bestFit="1" customWidth="1"/>
    <col min="2" max="2" width="24.44140625" style="1" bestFit="1" customWidth="1"/>
    <col min="3" max="16384" width="8.88671875" style="1"/>
  </cols>
  <sheetData>
    <row r="1" spans="1:2" x14ac:dyDescent="0.3">
      <c r="A1" t="s">
        <v>329</v>
      </c>
      <c r="B1" t="s">
        <v>330</v>
      </c>
    </row>
    <row r="2" spans="1:2" x14ac:dyDescent="0.3">
      <c r="A2" t="s">
        <v>332</v>
      </c>
      <c r="B2" t="s">
        <v>333</v>
      </c>
    </row>
    <row r="3" spans="1:2" x14ac:dyDescent="0.3">
      <c r="A3" t="s">
        <v>334</v>
      </c>
      <c r="B3" t="s">
        <v>335</v>
      </c>
    </row>
    <row r="4" spans="1:2" x14ac:dyDescent="0.3">
      <c r="A4" t="s">
        <v>336</v>
      </c>
      <c r="B4" t="s">
        <v>337</v>
      </c>
    </row>
    <row r="5" spans="1:2" x14ac:dyDescent="0.3">
      <c r="A5" t="s">
        <v>338</v>
      </c>
      <c r="B5" t="s">
        <v>339</v>
      </c>
    </row>
    <row r="6" spans="1:2" x14ac:dyDescent="0.3">
      <c r="A6" t="s">
        <v>340</v>
      </c>
      <c r="B6" t="s">
        <v>341</v>
      </c>
    </row>
    <row r="7" spans="1:2" x14ac:dyDescent="0.3">
      <c r="A7" t="s">
        <v>342</v>
      </c>
      <c r="B7">
        <v>820554300</v>
      </c>
    </row>
    <row r="8" spans="1:2" x14ac:dyDescent="0.3">
      <c r="A8" t="s">
        <v>343</v>
      </c>
      <c r="B8">
        <v>1765271398</v>
      </c>
    </row>
    <row r="9" spans="1:2" x14ac:dyDescent="0.3">
      <c r="A9" t="s">
        <v>344</v>
      </c>
      <c r="B9" t="b">
        <v>0</v>
      </c>
    </row>
    <row r="10" spans="1:2" x14ac:dyDescent="0.3">
      <c r="A10" t="s">
        <v>345</v>
      </c>
      <c r="B10">
        <v>19800</v>
      </c>
    </row>
    <row r="11" spans="1:2" x14ac:dyDescent="0.3">
      <c r="A11" t="s">
        <v>346</v>
      </c>
      <c r="B11" t="s">
        <v>347</v>
      </c>
    </row>
    <row r="12" spans="1:2" x14ac:dyDescent="0.3">
      <c r="A12" t="s">
        <v>348</v>
      </c>
      <c r="B12" t="s">
        <v>349</v>
      </c>
    </row>
    <row r="13" spans="1:2" x14ac:dyDescent="0.3">
      <c r="A13" t="s">
        <v>350</v>
      </c>
      <c r="B13">
        <v>5866</v>
      </c>
    </row>
    <row r="14" spans="1:2" x14ac:dyDescent="0.3">
      <c r="A14" t="s">
        <v>351</v>
      </c>
      <c r="B14">
        <v>6336</v>
      </c>
    </row>
    <row r="15" spans="1:2" x14ac:dyDescent="0.3">
      <c r="A15" t="s">
        <v>352</v>
      </c>
      <c r="B15">
        <v>4506</v>
      </c>
    </row>
    <row r="16" spans="1:2" x14ac:dyDescent="0.3">
      <c r="A16" t="s">
        <v>353</v>
      </c>
      <c r="B16">
        <v>5871.5</v>
      </c>
    </row>
    <row r="17" spans="1:2" x14ac:dyDescent="0.3">
      <c r="A17" t="s">
        <v>354</v>
      </c>
      <c r="B17">
        <v>5780</v>
      </c>
    </row>
    <row r="18" spans="1:2" x14ac:dyDescent="0.3">
      <c r="A18" t="s">
        <v>355</v>
      </c>
      <c r="B18">
        <v>103342</v>
      </c>
    </row>
    <row r="19" spans="1:2" x14ac:dyDescent="0.3">
      <c r="A19" t="s">
        <v>356</v>
      </c>
      <c r="B19" t="s">
        <v>357</v>
      </c>
    </row>
    <row r="20" spans="1:2" x14ac:dyDescent="0.3">
      <c r="A20" t="s">
        <v>358</v>
      </c>
      <c r="B20" t="s">
        <v>359</v>
      </c>
    </row>
    <row r="21" spans="1:2" x14ac:dyDescent="0.3">
      <c r="A21" t="s">
        <v>360</v>
      </c>
      <c r="B21">
        <v>5847.5</v>
      </c>
    </row>
    <row r="22" spans="1:2" x14ac:dyDescent="0.3">
      <c r="A22" t="s">
        <v>361</v>
      </c>
      <c r="B22">
        <v>2</v>
      </c>
    </row>
    <row r="23" spans="1:2" x14ac:dyDescent="0.3">
      <c r="A23" t="s">
        <v>362</v>
      </c>
      <c r="B23" t="s">
        <v>363</v>
      </c>
    </row>
    <row r="24" spans="1:2" x14ac:dyDescent="0.3">
      <c r="A24" t="s">
        <v>364</v>
      </c>
      <c r="B24" t="s">
        <v>365</v>
      </c>
    </row>
    <row r="25" spans="1:2" x14ac:dyDescent="0.3">
      <c r="A25" t="s">
        <v>366</v>
      </c>
      <c r="B25" t="s">
        <v>365</v>
      </c>
    </row>
    <row r="26" spans="1:2" x14ac:dyDescent="0.3">
      <c r="A26" t="s">
        <v>367</v>
      </c>
      <c r="B26" t="s">
        <v>331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58260F-8139-4D3E-A7D1-40A7156B63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Index</vt:lpstr>
      <vt:lpstr>Company Summary</vt:lpstr>
      <vt:lpstr>Peer Comparison </vt:lpstr>
      <vt:lpstr>Peer comparison FMCG</vt:lpstr>
      <vt:lpstr>Peer Comparison Categories</vt:lpstr>
      <vt:lpstr>Peer Comparison Charts</vt:lpstr>
      <vt:lpstr>FORECASTS </vt:lpstr>
      <vt:lpstr>P&amp;L Forecast</vt:lpstr>
      <vt:lpstr>BS Forecast</vt:lpstr>
      <vt:lpstr>Cash Flow Forecast</vt:lpstr>
      <vt:lpstr>WACC</vt:lpstr>
      <vt:lpstr>DCF </vt:lpstr>
      <vt:lpstr>Equity Schedule</vt:lpstr>
      <vt:lpstr>financial liabilites</vt:lpstr>
      <vt:lpstr>PP&amp;E schedule</vt:lpstr>
      <vt:lpstr>Charts </vt:lpstr>
      <vt:lpstr>Revenues&amp;EBITDA</vt:lpstr>
      <vt:lpstr>Working Capital</vt:lpstr>
      <vt:lpstr>historical data </vt:lpstr>
      <vt:lpstr>P&amp;L</vt:lpstr>
      <vt:lpstr>BS</vt:lpstr>
      <vt:lpstr>Cash Flow</vt:lpstr>
      <vt:lpstr>Britannia Stock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Arora</dc:creator>
  <cp:lastModifiedBy>Utkarsh Arora</cp:lastModifiedBy>
  <dcterms:created xsi:type="dcterms:W3CDTF">2025-02-20T18:29:40Z</dcterms:created>
  <dcterms:modified xsi:type="dcterms:W3CDTF">2025-12-09T09:11:34Z</dcterms:modified>
</cp:coreProperties>
</file>